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auri Awasthi\Downloads\"/>
    </mc:Choice>
  </mc:AlternateContent>
  <xr:revisionPtr revIDLastSave="0" documentId="13_ncr:1_{80B33423-6DCC-4D53-876C-E9FAEBA0D771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heet1" sheetId="2" r:id="rId1"/>
    <sheet name="Raw Data" sheetId="1" r:id="rId2"/>
  </sheets>
  <calcPr calcId="191029"/>
  <pivotCaches>
    <pivotCache cacheId="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</calcChain>
</file>

<file path=xl/sharedStrings.xml><?xml version="1.0" encoding="utf-8"?>
<sst xmlns="http://schemas.openxmlformats.org/spreadsheetml/2006/main" count="985" uniqueCount="211">
  <si>
    <t>Order ID</t>
  </si>
  <si>
    <t>Order Date</t>
  </si>
  <si>
    <t>Region</t>
  </si>
  <si>
    <t>Salesperson</t>
  </si>
  <si>
    <t>Category</t>
  </si>
  <si>
    <t>Product</t>
  </si>
  <si>
    <t>Units Sold</t>
  </si>
  <si>
    <t>Unit Price (INR)</t>
  </si>
  <si>
    <t>Discount %</t>
  </si>
  <si>
    <t>Payment Mode</t>
  </si>
  <si>
    <t>ORD0001</t>
  </si>
  <si>
    <t>South</t>
  </si>
  <si>
    <t>Ananya Gupta</t>
  </si>
  <si>
    <t>Electronics</t>
  </si>
  <si>
    <t>Laptop</t>
  </si>
  <si>
    <t>Net Banking</t>
  </si>
  <si>
    <t>ORD0002</t>
  </si>
  <si>
    <t>Aarav Sharma</t>
  </si>
  <si>
    <t>Smartwatch</t>
  </si>
  <si>
    <t>ORD0003</t>
  </si>
  <si>
    <t>North</t>
  </si>
  <si>
    <t>Karan Mehta</t>
  </si>
  <si>
    <t>Smartphone</t>
  </si>
  <si>
    <t>ORD0004</t>
  </si>
  <si>
    <t>West</t>
  </si>
  <si>
    <t>Furniture</t>
  </si>
  <si>
    <t>Office Chair</t>
  </si>
  <si>
    <t>Cash on Delivery</t>
  </si>
  <si>
    <t>ORD0005</t>
  </si>
  <si>
    <t>Vikram Rao</t>
  </si>
  <si>
    <t>Stationery</t>
  </si>
  <si>
    <t>Backpack</t>
  </si>
  <si>
    <t>ORD0006</t>
  </si>
  <si>
    <t>Rohan Verma</t>
  </si>
  <si>
    <t>Tablet</t>
  </si>
  <si>
    <t>ORD0007</t>
  </si>
  <si>
    <t>Neha Joshi</t>
  </si>
  <si>
    <t>Home Appliances</t>
  </si>
  <si>
    <t>Air Fryer</t>
  </si>
  <si>
    <t>Debit Card</t>
  </si>
  <si>
    <t>ORD0008</t>
  </si>
  <si>
    <t>ORD0009</t>
  </si>
  <si>
    <t>Credit Card</t>
  </si>
  <si>
    <t>ORD0010</t>
  </si>
  <si>
    <t>ORD0011</t>
  </si>
  <si>
    <t>Mixer Grinder</t>
  </si>
  <si>
    <t>UPI</t>
  </si>
  <si>
    <t>ORD0012</t>
  </si>
  <si>
    <t>East</t>
  </si>
  <si>
    <t>ORD0013</t>
  </si>
  <si>
    <t>Priya Singh</t>
  </si>
  <si>
    <t>ORD0014</t>
  </si>
  <si>
    <t>ORD0015</t>
  </si>
  <si>
    <t>Electric Kettle</t>
  </si>
  <si>
    <t>ORD0016</t>
  </si>
  <si>
    <t>Study Table</t>
  </si>
  <si>
    <t>ORD0017</t>
  </si>
  <si>
    <t>Notebook Pack</t>
  </si>
  <si>
    <t>ORD0018</t>
  </si>
  <si>
    <t>ORD0019</t>
  </si>
  <si>
    <t>ORD0020</t>
  </si>
  <si>
    <t>ORD0021</t>
  </si>
  <si>
    <t>ORD0022</t>
  </si>
  <si>
    <t>Pen Set</t>
  </si>
  <si>
    <t>ORD0023</t>
  </si>
  <si>
    <t>ORD0024</t>
  </si>
  <si>
    <t>ORD0025</t>
  </si>
  <si>
    <t>ORD0026</t>
  </si>
  <si>
    <t>Bookshelf</t>
  </si>
  <si>
    <t>ORD0027</t>
  </si>
  <si>
    <t>ORD0028</t>
  </si>
  <si>
    <t>ORD0029</t>
  </si>
  <si>
    <t>ORD0030</t>
  </si>
  <si>
    <t>ORD0031</t>
  </si>
  <si>
    <t>Sofa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</si>
  <si>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</si>
  <si>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</si>
  <si>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</si>
  <si>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</si>
  <si>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</si>
  <si>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</si>
  <si>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</si>
  <si>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</si>
  <si>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</si>
  <si>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</si>
  <si>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</si>
  <si>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</si>
  <si>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</si>
  <si>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</si>
  <si>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</si>
  <si>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</si>
  <si>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</si>
  <si>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</si>
  <si>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</si>
  <si>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</si>
  <si>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Headphones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</si>
  <si>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</si>
  <si>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</si>
  <si>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</si>
  <si>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</si>
  <si>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</si>
  <si>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</si>
  <si>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</si>
  <si>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</si>
  <si>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</si>
  <si>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</si>
  <si>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</si>
  <si>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</si>
  <si>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</si>
  <si>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</si>
  <si>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</si>
  <si>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</si>
  <si>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</si>
  <si>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</si>
  <si>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</si>
  <si>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</si>
  <si>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</si>
  <si>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</si>
  <si>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</si>
  <si>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</si>
  <si>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</si>
  <si>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</si>
  <si>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</si>
  <si>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</si>
  <si>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</si>
  <si>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</si>
  <si>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</si>
  <si>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</si>
  <si>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</si>
  <si>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</si>
  <si>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</si>
  <si>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</si>
  <si>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</si>
  <si>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</si>
  <si>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</si>
  <si>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</si>
  <si>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</si>
  <si>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</si>
  <si>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</si>
  <si>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</si>
  <si>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</si>
  <si>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</si>
  <si>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</si>
  <si>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</si>
  <si>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</si>
  <si>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</si>
  <si>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</si>
  <si>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</si>
  <si>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</si>
  <si>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</si>
  <si>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</si>
  <si>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</si>
  <si>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</si>
  <si>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</si>
  <si>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</si>
  <si>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</si>
  <si>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</si>
  <si>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</si>
  <si>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</si>
  <si>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</si>
  <si>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</si>
  <si>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</si>
  <si>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</si>
  <si>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</si>
  <si>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</si>
  <si>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</si>
  <si>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</si>
  <si>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</si>
  <si>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</si>
  <si>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</si>
  <si>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</si>
  <si>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</si>
  <si>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</si>
  <si>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</si>
  <si>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</si>
  <si>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</si>
  <si>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</si>
  <si>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</si>
  <si>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</si>
  <si>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</si>
  <si>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</si>
  <si>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</si>
  <si>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</si>
  <si>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</si>
  <si>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</si>
  <si>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</si>
  <si>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</si>
  <si>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</si>
  <si>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</si>
  <si>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</si>
  <si>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</si>
  <si>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</si>
  <si>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</si>
  <si>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</si>
  <si>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</si>
  <si>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Sum of Units Sold</t>
  </si>
  <si>
    <t>Row Labels</t>
  </si>
  <si>
    <t>(blank)</t>
  </si>
  <si>
    <t>Grand Total</t>
  </si>
  <si>
    <t>Sum of total revenue</t>
  </si>
  <si>
    <t>month</t>
  </si>
  <si>
    <t>Jan</t>
  </si>
  <si>
    <t>Feb</t>
  </si>
  <si>
    <t>Mar</t>
  </si>
  <si>
    <t>Apr</t>
  </si>
  <si>
    <t>May</t>
  </si>
  <si>
    <t>Jun</t>
  </si>
  <si>
    <t>Jul</t>
  </si>
  <si>
    <t>&lt;02-01-2026</t>
  </si>
  <si>
    <t xml:space="preserve"> revenue</t>
  </si>
  <si>
    <t>Count of Units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</si>
</sst>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[raw_dataset_sales_performance.xlsx]Sheet1!PivotTable2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unit</a:t>
            </a:r>
            <a:r>
              <a:rPr lang="en-IN" baseline="0"/>
              <a:t> price per product</a:t>
            </a:r>
            <a:endParaRPr lang="en-IN"/>
          </a:p>
        </c:rich>
      </c:tx>
      <c:layout>
        <c:manualLayout>
          <c:xMode val="edge"/>
          <c:yMode val="edge"/>
          <c:x val="0.17591733152561229"/>
          <c:y val="7.30533683289588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Sheet1!$A$4:$A$20</c:f>
              <c:strCache>
                <c:ptCount val="16"/>
                <c:pt idx="0">
                  <c:v>Air Fryer</c:v>
                </c:pt>
                <c:pt idx="1">
                  <c:v>Backpack</c:v>
                </c:pt>
                <c:pt idx="2">
                  <c:v>Bookshelf</c:v>
                </c:pt>
                <c:pt idx="3">
                  <c:v>Electric Kettle</c:v>
                </c:pt>
                <c:pt idx="4">
                  <c:v>Headphones</c:v>
                </c:pt>
                <c:pt idx="5">
                  <c:v>Laptop</c:v>
                </c:pt>
                <c:pt idx="6">
                  <c:v>Mixer Grinder</c:v>
                </c:pt>
                <c:pt idx="7">
                  <c:v>Notebook Pack</c:v>
                </c:pt>
                <c:pt idx="8">
                  <c:v>Office Chair</c:v>
                </c:pt>
                <c:pt idx="9">
                  <c:v>Pen Set</c:v>
                </c:pt>
                <c:pt idx="10">
                  <c:v>Smartphone</c:v>
                </c:pt>
                <c:pt idx="11">
                  <c:v>Smartwatch</c:v>
                </c:pt>
                <c:pt idx="12">
                  <c:v>Sofa</c:v>
                </c:pt>
                <c:pt idx="13">
                  <c:v>Study Table</c:v>
                </c:pt>
                <c:pt idx="14">
                  <c:v>Tablet</c:v>
                </c:pt>
                <c:pt idx="15">
                  <c:v>(blank)</c:v>
                </c:pt>
              </c:strCache>
            </c:strRef>
          </c:cat>
          <c:val>
            <c:numRef>
              <c:f>Sheet1!$B$4:$B$20</c:f>
              <c:numCache>
                <c:formatCode>General</c:formatCode>
                <c:ptCount val="16"/>
                <c:pt idx="0">
                  <c:v>421992.75</c:v>
                </c:pt>
                <c:pt idx="1">
                  <c:v>230579.9</c:v>
                </c:pt>
                <c:pt idx="2">
                  <c:v>325900.39999999997</c:v>
                </c:pt>
                <c:pt idx="3">
                  <c:v>156858.5</c:v>
                </c:pt>
                <c:pt idx="4">
                  <c:v>240273.84999999998</c:v>
                </c:pt>
                <c:pt idx="5">
                  <c:v>8606972.5999999996</c:v>
                </c:pt>
                <c:pt idx="6">
                  <c:v>554257.80000000005</c:v>
                </c:pt>
                <c:pt idx="7">
                  <c:v>39312.949999999997</c:v>
                </c:pt>
                <c:pt idx="8">
                  <c:v>955260.20000000007</c:v>
                </c:pt>
                <c:pt idx="9">
                  <c:v>30006.3</c:v>
                </c:pt>
                <c:pt idx="10">
                  <c:v>1488645.8</c:v>
                </c:pt>
                <c:pt idx="11">
                  <c:v>514898.65</c:v>
                </c:pt>
                <c:pt idx="12">
                  <c:v>1070299.8999999999</c:v>
                </c:pt>
                <c:pt idx="13">
                  <c:v>867237.45000000007</c:v>
                </c:pt>
                <c:pt idx="14">
                  <c:v>919508.10000000009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90E-465F-A5F3-3BEE78E8047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713024031"/>
        <c:axId val="2054001359"/>
      </c:barChart>
      <c:catAx>
        <c:axId val="713024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001359"/>
        <c:crosses val="autoZero"/>
        <c:auto val="1"/>
        <c:lblAlgn val="ctr"/>
        <c:lblOffset val="100"/>
        <c:noMultiLvlLbl val="0"/>
      </c:catAx>
      <c:valAx>
        <c:axId val="205400135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13024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[raw_dataset_sales_performance.xlsx]Sheet1!PivotTable3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r>
              <a:rPr lang="en-IN" baseline="0"/>
              <a:t> Unit Sales per Product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Sheet1!$C$25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Sheet1!$B$26:$B$42</c:f>
              <c:strCache>
                <c:ptCount val="16"/>
                <c:pt idx="0">
                  <c:v>Air Fryer</c:v>
                </c:pt>
                <c:pt idx="1">
                  <c:v>Backpack</c:v>
                </c:pt>
                <c:pt idx="2">
                  <c:v>Bookshelf</c:v>
                </c:pt>
                <c:pt idx="3">
                  <c:v>Electric Kettle</c:v>
                </c:pt>
                <c:pt idx="4">
                  <c:v>Headphones</c:v>
                </c:pt>
                <c:pt idx="5">
                  <c:v>Laptop</c:v>
                </c:pt>
                <c:pt idx="6">
                  <c:v>Mixer Grinder</c:v>
                </c:pt>
                <c:pt idx="7">
                  <c:v>Notebook Pack</c:v>
                </c:pt>
                <c:pt idx="8">
                  <c:v>Office Chair</c:v>
                </c:pt>
                <c:pt idx="9">
                  <c:v>Pen Set</c:v>
                </c:pt>
                <c:pt idx="10">
                  <c:v>Smartphone</c:v>
                </c:pt>
                <c:pt idx="11">
                  <c:v>Smartwatch</c:v>
                </c:pt>
                <c:pt idx="12">
                  <c:v>Sofa</c:v>
                </c:pt>
                <c:pt idx="13">
                  <c:v>Study Table</c:v>
                </c:pt>
                <c:pt idx="14">
                  <c:v>Tablet</c:v>
                </c:pt>
                <c:pt idx="15">
                  <c:v>(blank)</c:v>
                </c:pt>
              </c:strCache>
            </c:strRef>
          </c:cat>
          <c:val>
            <c:numRef>
              <c:f>Sheet1!$C$26:$C$42</c:f>
              <c:numCache>
                <c:formatCode>General</c:formatCode>
                <c:ptCount val="16"/>
                <c:pt idx="0">
                  <c:v>71</c:v>
                </c:pt>
                <c:pt idx="1">
                  <c:v>169</c:v>
                </c:pt>
                <c:pt idx="2">
                  <c:v>84</c:v>
                </c:pt>
                <c:pt idx="3">
                  <c:v>137</c:v>
                </c:pt>
                <c:pt idx="4">
                  <c:v>107</c:v>
                </c:pt>
                <c:pt idx="5">
                  <c:v>173</c:v>
                </c:pt>
                <c:pt idx="6">
                  <c:v>191</c:v>
                </c:pt>
                <c:pt idx="7">
                  <c:v>175</c:v>
                </c:pt>
                <c:pt idx="8">
                  <c:v>163</c:v>
                </c:pt>
                <c:pt idx="9">
                  <c:v>219</c:v>
                </c:pt>
                <c:pt idx="10">
                  <c:v>71</c:v>
                </c:pt>
                <c:pt idx="11">
                  <c:v>128</c:v>
                </c:pt>
                <c:pt idx="12">
                  <c:v>44</c:v>
                </c:pt>
                <c:pt idx="13">
                  <c:v>117</c:v>
                </c:pt>
                <c:pt idx="14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ED-40A3-86BB-3543F672A8B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55077583"/>
        <c:axId val="2054011919"/>
      </c:barChart>
      <c:catAx>
        <c:axId val="455077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011919"/>
        <c:crosses val="autoZero"/>
        <c:auto val="1"/>
        <c:lblAlgn val="ctr"/>
        <c:lblOffset val="100"/>
        <c:noMultiLvlLbl val="0"/>
      </c:catAx>
      <c:valAx>
        <c:axId val="2054011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077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[raw_dataset_sales_performance.xlsx]Sheet1!PivotTable4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salespersons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1806615776081425E-2"/>
          <c:y val="0.24972889258407915"/>
          <c:w val="0.69067540221594437"/>
          <c:h val="0.70886323992109679"/>
        </c:manualLayout>
      </c:layout>
      <c:pie3DChart>
        <c:varyColors val="1"/>
        <c:ser>
          <c:idx val="0"/>
          <c:order val="0"/>
          <c:tx>
            <c:strRef>
              <c:f>Sheet1!$M$6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5991-4FE8-9EEC-67E1230D776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5991-4FE8-9EEC-67E1230D776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5991-4FE8-9EEC-67E1230D776D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5991-4FE8-9EEC-67E1230D776D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5991-4FE8-9EEC-67E1230D776D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5991-4FE8-9EEC-67E1230D776D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5991-4FE8-9EEC-67E1230D77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Sheet1!$L$7:$L$14</c:f>
              <c:strCache>
                <c:ptCount val="7"/>
                <c:pt idx="0">
                  <c:v>Aarav Sharma</c:v>
                </c:pt>
                <c:pt idx="1">
                  <c:v>Ananya Gupta</c:v>
                </c:pt>
                <c:pt idx="2">
                  <c:v>Karan Mehta</c:v>
                </c:pt>
                <c:pt idx="3">
                  <c:v>Neha Joshi</c:v>
                </c:pt>
                <c:pt idx="4">
                  <c:v>Priya Singh</c:v>
                </c:pt>
                <c:pt idx="5">
                  <c:v>Rohan Verma</c:v>
                </c:pt>
                <c:pt idx="6">
                  <c:v>Vikram Rao</c:v>
                </c:pt>
              </c:strCache>
            </c:strRef>
          </c:cat>
          <c:val>
            <c:numRef>
              <c:f>Sheet1!$M$7:$M$14</c:f>
              <c:numCache>
                <c:formatCode>General</c:formatCode>
                <c:ptCount val="7"/>
                <c:pt idx="0">
                  <c:v>388</c:v>
                </c:pt>
                <c:pt idx="1">
                  <c:v>307</c:v>
                </c:pt>
                <c:pt idx="2">
                  <c:v>197</c:v>
                </c:pt>
                <c:pt idx="3">
                  <c:v>298</c:v>
                </c:pt>
                <c:pt idx="4">
                  <c:v>324</c:v>
                </c:pt>
                <c:pt idx="5">
                  <c:v>254</c:v>
                </c:pt>
                <c:pt idx="6">
                  <c:v>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C7-4403-BD79-F172E6638B78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[raw_dataset_sales_performance.xlsx]Sheet1!PivotTable9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5000000000000001E-2"/>
          <c:y val="0.27458114610673667"/>
          <c:w val="0.82248140857392826"/>
          <c:h val="0.535042650918635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Sheet1!$N$28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Sheet1!$M$29:$M$33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Sheet1!$N$29:$N$33</c:f>
              <c:numCache>
                <c:formatCode>General</c:formatCode>
                <c:ptCount val="4"/>
                <c:pt idx="0">
                  <c:v>3810038.9499999997</c:v>
                </c:pt>
                <c:pt idx="1">
                  <c:v>3384006.1</c:v>
                </c:pt>
                <c:pt idx="2">
                  <c:v>5721852.9000000004</c:v>
                </c:pt>
                <c:pt idx="3">
                  <c:v>3506107.1999999993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E3-4162-BAD9-BAB22A9DBED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465558879"/>
        <c:axId val="2053964399"/>
      </c:barChart>
      <c:catAx>
        <c:axId val="465558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964399"/>
        <c:crosses val="autoZero"/>
        <c:auto val="1"/>
        <c:lblAlgn val="ctr"/>
        <c:lblOffset val="100"/>
        <c:noMultiLvlLbl val="0"/>
      </c:catAx>
      <c:valAx>
        <c:axId val="205396439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65558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[raw_dataset_sales_performance.xlsx]Sheet1!PivotTable10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Sheet1!$G$44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Sheet1!$F$45:$F$53</c:f>
              <c:strCache>
                <c:ptCount val="8"/>
                <c:pt idx="0">
                  <c:v>&lt;02-01-2026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</c:strCache>
            </c:strRef>
          </c:cat>
          <c:val>
            <c:numRef>
              <c:f>Sheet1!$G$45:$G$53</c:f>
              <c:numCache>
                <c:formatCode>General</c:formatCode>
                <c:ptCount val="8"/>
                <c:pt idx="1">
                  <c:v>3007410.35</c:v>
                </c:pt>
                <c:pt idx="2">
                  <c:v>792683.29999999993</c:v>
                </c:pt>
                <c:pt idx="3">
                  <c:v>1704544.6500000004</c:v>
                </c:pt>
                <c:pt idx="4">
                  <c:v>4511814.5</c:v>
                </c:pt>
                <c:pt idx="5">
                  <c:v>1917510.4500000002</c:v>
                </c:pt>
                <c:pt idx="6">
                  <c:v>2235773.4</c:v>
                </c:pt>
                <c:pt idx="7">
                  <c:v>2252268.5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7D-4553-A179-CBC3B68403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0399951"/>
        <c:axId val="2054008559"/>
      </c:lineChart>
      <c:catAx>
        <c:axId val="400399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008559"/>
        <c:crosses val="autoZero"/>
        <c:auto val="1"/>
        <c:lblAlgn val="ctr"/>
        <c:lblOffset val="100"/>
        <c:noMultiLvlLbl val="0"/>
      </c:catAx>
      <c:valAx>
        <c:axId val="205400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399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3</xdr:row>
      <xdr:rowOff>3810</xdr:rowOff>
    </xdr:from>
    <xdr:to>
      <xdr:col>9</xdr:col>
      <xdr:colOff>152400</xdr:colOff>
      <xdr:row>18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023D94-28EF-DBC6-4E08-2C2C41E3A2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83820</xdr:colOff>
      <xdr:row>24</xdr:row>
      <xdr:rowOff>171450</xdr:rowOff>
    </xdr:from>
    <xdr:to>
      <xdr:col>10</xdr:col>
      <xdr:colOff>388620</xdr:colOff>
      <xdr:row>39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2FCBAC-EB8F-C0BB-0E82-FDE33C3853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68580</xdr:colOff>
      <xdr:row>4</xdr:row>
      <xdr:rowOff>171450</xdr:rowOff>
    </xdr:from>
    <xdr:to>
      <xdr:col>18</xdr:col>
      <xdr:colOff>556260</xdr:colOff>
      <xdr:row>21</xdr:row>
      <xdr:rowOff>129540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3C3A26A-162B-4CC3-FC3F-3D5E995D64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68580</xdr:colOff>
      <xdr:row>24</xdr:row>
      <xdr:rowOff>80010</xdr:rowOff>
    </xdr:from>
    <xdr:to>
      <xdr:col>20</xdr:col>
      <xdr:colOff>182880</xdr:colOff>
      <xdr:row>39</xdr:row>
      <xdr:rowOff>80010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0213D51-5633-6F87-C379-0AD67DDC3F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266700</xdr:colOff>
      <xdr:row>41</xdr:row>
      <xdr:rowOff>171450</xdr:rowOff>
    </xdr:from>
    <xdr:to>
      <xdr:col>13</xdr:col>
      <xdr:colOff>441960</xdr:colOff>
      <xdr:row>56</xdr:row>
      <xdr:rowOff>171450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27EA146-E516-A028-AE08-8699E83414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uri Awasthi" refreshedDate="46239.929540046294" createdVersion="8" refreshedVersion="8" minRefreshableVersion="3" recordCount="151" xr:uid="{1B32ADF2-EC01-4891-AAB6-57A170815A2A}">
  <cacheSource type="worksheet">
    <worksheetSource ref="A1:K1048576" sheet="Raw Data"/>
  </cacheSource>
  <cacheFields count="13">
    <cacheField name="Order ID" numFmtId="0">
      <sharedItems containsBlank="1"/>
    </cacheField>
    <cacheField name="Order Date" numFmtId="0">
      <sharedItems containsNonDate="0" containsDate="1" containsString="0" containsBlank="1" minDate="2026-01-02T00:00:00" maxDate="2026-07-30T00:00:00" count="108">
        <d v="2026-03-24T00:00:00"/>
        <d v="2026-01-15T00:00:00"/>
        <d v="2026-04-19T00:00:00"/>
        <d v="2026-05-30T00:00:00"/>
        <d v="2026-02-06T00:00:00"/>
        <d v="2026-05-27T00:00:00"/>
        <d v="2026-02-22T00:00:00"/>
        <d v="2026-03-05T00:00:00"/>
        <d v="2026-07-06T00:00:00"/>
        <d v="2026-05-06T00:00:00"/>
        <d v="2026-06-02T00:00:00"/>
        <d v="2026-01-16T00:00:00"/>
        <d v="2026-04-29T00:00:00"/>
        <d v="2026-07-09T00:00:00"/>
        <d v="2026-03-13T00:00:00"/>
        <d v="2026-03-01T00:00:00"/>
        <d v="2026-05-31T00:00:00"/>
        <d v="2026-05-25T00:00:00"/>
        <d v="2026-04-13T00:00:00"/>
        <d v="2026-04-23T00:00:00"/>
        <d v="2026-01-26T00:00:00"/>
        <d v="2026-06-12T00:00:00"/>
        <d v="2026-05-04T00:00:00"/>
        <d v="2026-06-27T00:00:00"/>
        <d v="2026-06-26T00:00:00"/>
        <d v="2026-04-04T00:00:00"/>
        <d v="2026-07-29T00:00:00"/>
        <d v="2026-07-22T00:00:00"/>
        <d v="2026-06-09T00:00:00"/>
        <d v="2026-07-20T00:00:00"/>
        <d v="2026-06-01T00:00:00"/>
        <d v="2026-05-21T00:00:00"/>
        <d v="2026-02-24T00:00:00"/>
        <d v="2026-05-20T00:00:00"/>
        <d v="2026-07-28T00:00:00"/>
        <d v="2026-06-05T00:00:00"/>
        <d v="2026-03-12T00:00:00"/>
        <d v="2026-03-25T00:00:00"/>
        <d v="2026-03-08T00:00:00"/>
        <d v="2026-01-19T00:00:00"/>
        <d v="2026-02-11T00:00:00"/>
        <d v="2026-03-23T00:00:00"/>
        <d v="2026-04-09T00:00:00"/>
        <d v="2026-01-22T00:00:00"/>
        <d v="2026-04-14T00:00:00"/>
        <d v="2026-03-09T00:00:00"/>
        <d v="2026-02-03T00:00:00"/>
        <d v="2026-02-21T00:00:00"/>
        <d v="2026-06-22T00:00:00"/>
        <d v="2026-07-07T00:00:00"/>
        <d v="2026-06-30T00:00:00"/>
        <d v="2026-04-21T00:00:00"/>
        <d v="2026-03-04T00:00:00"/>
        <d v="2026-02-16T00:00:00"/>
        <d v="2026-05-10T00:00:00"/>
        <d v="2026-01-06T00:00:00"/>
        <d v="2026-04-10T00:00:00"/>
        <d v="2026-07-03T00:00:00"/>
        <d v="2026-01-08T00:00:00"/>
        <d v="2026-06-10T00:00:00"/>
        <d v="2026-01-17T00:00:00"/>
        <d v="2026-06-07T00:00:00"/>
        <d v="2026-05-26T00:00:00"/>
        <d v="2026-02-10T00:00:00"/>
        <d v="2026-04-07T00:00:00"/>
        <d v="2026-02-20T00:00:00"/>
        <d v="2026-01-20T00:00:00"/>
        <d v="2026-05-22T00:00:00"/>
        <d v="2026-07-12T00:00:00"/>
        <d v="2026-05-01T00:00:00"/>
        <d v="2026-06-17T00:00:00"/>
        <d v="2026-02-05T00:00:00"/>
        <d v="2026-04-05T00:00:00"/>
        <d v="2026-07-10T00:00:00"/>
        <d v="2026-04-03T00:00:00"/>
        <d v="2026-06-15T00:00:00"/>
        <d v="2026-02-27T00:00:00"/>
        <d v="2026-02-28T00:00:00"/>
        <d v="2026-01-02T00:00:00"/>
        <d v="2026-02-17T00:00:00"/>
        <d v="2026-01-14T00:00:00"/>
        <d v="2026-04-26T00:00:00"/>
        <d v="2026-02-13T00:00:00"/>
        <d v="2026-07-14T00:00:00"/>
        <d v="2026-07-08T00:00:00"/>
        <d v="2026-03-28T00:00:00"/>
        <d v="2026-03-18T00:00:00"/>
        <d v="2026-07-18T00:00:00"/>
        <d v="2026-01-03T00:00:00"/>
        <d v="2026-06-16T00:00:00"/>
        <d v="2026-03-17T00:00:00"/>
        <d v="2026-01-27T00:00:00"/>
        <d v="2026-01-31T00:00:00"/>
        <d v="2026-06-08T00:00:00"/>
        <d v="2026-04-15T00:00:00"/>
        <d v="2026-04-12T00:00:00"/>
        <d v="2026-04-02T00:00:00"/>
        <d v="2026-07-17T00:00:00"/>
        <d v="2026-01-28T00:00:00"/>
        <d v="2026-04-25T00:00:00"/>
        <d v="2026-03-31T00:00:00"/>
        <d v="2026-05-09T00:00:00"/>
        <d v="2026-01-30T00:00:00"/>
        <d v="2026-05-18T00:00:00"/>
        <d v="2026-03-26T00:00:00"/>
        <d v="2026-03-06T00:00:00"/>
        <d v="2026-03-16T00:00:00"/>
        <m/>
      </sharedItems>
      <fieldGroup par="12"/>
    </cacheField>
    <cacheField name="Region" numFmtId="0">
      <sharedItems containsBlank="1" count="5">
        <s v="South"/>
        <s v="North"/>
        <s v="West"/>
        <s v="East"/>
        <m/>
      </sharedItems>
    </cacheField>
    <cacheField name="Salesperson" numFmtId="0">
      <sharedItems containsBlank="1" count="8">
        <s v="Ananya Gupta"/>
        <s v="Aarav Sharma"/>
        <s v="Karan Mehta"/>
        <s v="Vikram Rao"/>
        <s v="Rohan Verma"/>
        <s v="Neha Joshi"/>
        <s v="Priya Singh"/>
        <m/>
      </sharedItems>
    </cacheField>
    <cacheField name="Category" numFmtId="0">
      <sharedItems containsBlank="1"/>
    </cacheField>
    <cacheField name="Product" numFmtId="0">
      <sharedItems containsBlank="1" count="16">
        <s v="Laptop"/>
        <s v="Smartwatch"/>
        <s v="Smartphone"/>
        <s v="Office Chair"/>
        <s v="Backpack"/>
        <s v="Tablet"/>
        <s v="Air Fryer"/>
        <s v="Mixer Grinder"/>
        <s v="Electric Kettle"/>
        <s v="Study Table"/>
        <s v="Notebook Pack"/>
        <s v="Pen Set"/>
        <s v="Bookshelf"/>
        <s v="Sofa"/>
        <s v="Headphones"/>
        <m/>
      </sharedItems>
    </cacheField>
    <cacheField name="Units Sold" numFmtId="0">
      <sharedItems containsString="0" containsBlank="1" containsNumber="1" containsInteger="1" minValue="1" maxValue="25"/>
    </cacheField>
    <cacheField name="Unit Price (INR)" numFmtId="0">
      <sharedItems containsString="0" containsBlank="1" containsNumber="1" containsInteger="1" minValue="143" maxValue="57384" count="138">
        <n v="56767"/>
        <n v="4463"/>
        <n v="22287"/>
        <n v="6536"/>
        <n v="1547"/>
        <n v="18381"/>
        <n v="6776"/>
        <n v="6548"/>
        <n v="55065"/>
        <n v="18131"/>
        <n v="3308"/>
        <n v="6947"/>
        <n v="4301"/>
        <n v="6514"/>
        <n v="1173"/>
        <n v="7785"/>
        <n v="241"/>
        <n v="4679"/>
        <n v="1188"/>
        <n v="1432"/>
        <n v="57058"/>
        <n v="144"/>
        <n v="6662"/>
        <n v="22992"/>
        <n v="1554"/>
        <n v="4257"/>
        <n v="8014"/>
        <n v="254"/>
        <n v="21934"/>
        <n v="1437"/>
        <n v="25722"/>
        <n v="21274"/>
        <n v="25393"/>
        <n v="55146"/>
        <n v="4200"/>
        <n v="6766"/>
        <n v="8018"/>
        <n v="7713"/>
        <n v="3322"/>
        <n v="17913"/>
        <n v="150"/>
        <n v="3173"/>
        <n v="22372"/>
        <n v="3278"/>
        <n v="245"/>
        <n v="1569"/>
        <n v="21494"/>
        <n v="1179"/>
        <n v="56658"/>
        <n v="2623"/>
        <n v="6804"/>
        <n v="1538"/>
        <n v="262"/>
        <n v="3339"/>
        <n v="1457"/>
        <n v="258"/>
        <n v="4666"/>
        <n v="3090"/>
        <n v="238"/>
        <n v="3191"/>
        <n v="6555"/>
        <n v="3130"/>
        <n v="6712"/>
        <n v="246"/>
        <n v="248"/>
        <n v="2433"/>
        <n v="3193"/>
        <n v="4096"/>
        <n v="3195"/>
        <n v="149"/>
        <n v="3132"/>
        <n v="17262"/>
        <n v="249"/>
        <n v="6665"/>
        <n v="148"/>
        <n v="244"/>
        <n v="256"/>
        <n v="57384"/>
        <n v="143"/>
        <n v="146"/>
        <n v="1220"/>
        <n v="1166"/>
        <n v="21652"/>
        <n v="153"/>
        <n v="6351"/>
        <n v="240"/>
        <n v="1242"/>
        <n v="4313"/>
        <n v="2615"/>
        <n v="52636"/>
        <n v="55206"/>
        <n v="7623"/>
        <n v="3122"/>
        <n v="1488"/>
        <n v="21990"/>
        <n v="1146"/>
        <n v="23879"/>
        <n v="57373"/>
        <n v="1533"/>
        <n v="2395"/>
        <n v="154"/>
        <n v="1562"/>
        <n v="3299"/>
        <n v="53663"/>
        <n v="1431"/>
        <n v="56793"/>
        <n v="7862"/>
        <n v="25632"/>
        <n v="4499"/>
        <n v="1246"/>
        <n v="7825"/>
        <n v="8119"/>
        <n v="26035"/>
        <n v="6416"/>
        <n v="6707"/>
        <n v="6691"/>
        <n v="1206"/>
        <n v="1471"/>
        <n v="2536"/>
        <n v="3302"/>
        <n v="55283"/>
        <n v="7878"/>
        <n v="4043"/>
        <n v="8096"/>
        <n v="1158"/>
        <n v="2404"/>
        <n v="6856"/>
        <n v="55653"/>
        <n v="24750"/>
        <n v="1201"/>
        <n v="56386"/>
        <n v="24469"/>
        <n v="1466"/>
        <n v="1500"/>
        <n v="4275"/>
        <n v="8092"/>
        <n v="1425"/>
        <m/>
      </sharedItems>
    </cacheField>
    <cacheField name="Discount %" numFmtId="0">
      <sharedItems containsString="0" containsBlank="1" containsNumber="1" containsInteger="1" minValue="0" maxValue="20"/>
    </cacheField>
    <cacheField name="Payment Mode" numFmtId="0">
      <sharedItems containsBlank="1"/>
    </cacheField>
    <cacheField name="total revenue" numFmtId="0">
      <sharedItems containsString="0" containsBlank="1" containsNumber="1" minValue="258" maxValue="1287912"/>
    </cacheField>
    <cacheField name="Days (Order Date)" numFmtId="0" databaseField="0">
      <fieldGroup base="1">
        <rangePr groupBy="days" startDate="2026-01-02T00:00:00" endDate="2026-07-30T00:00:00"/>
        <groupItems count="368">
          <s v="&lt;02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0-07-2026"/>
        </groupItems>
      </fieldGroup>
    </cacheField>
    <cacheField name="Months (Order Date)" numFmtId="0" databaseField="0">
      <fieldGroup base="1">
        <rangePr groupBy="months" startDate="2026-01-02T00:00:00" endDate="2026-07-30T00:00:00"/>
        <groupItems count="14">
          <s v="&lt;02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0-07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">
  <r>
    <s v="ORD0001"/>
    <x v="0"/>
    <x v="0"/>
    <x v="0"/>
    <s v="Electronics"/>
    <x v="0"/>
    <n v="4"/>
    <x v="0"/>
    <n v="10"/>
    <s v="Net Banking"/>
    <n v="204361.2"/>
  </r>
  <r>
    <s v="ORD0002"/>
    <x v="1"/>
    <x v="0"/>
    <x v="1"/>
    <s v="Electronics"/>
    <x v="1"/>
    <n v="8"/>
    <x v="1"/>
    <n v="0"/>
    <s v="Net Banking"/>
    <n v="35704"/>
  </r>
  <r>
    <s v="ORD0003"/>
    <x v="2"/>
    <x v="1"/>
    <x v="2"/>
    <s v="Electronics"/>
    <x v="2"/>
    <n v="19"/>
    <x v="2"/>
    <n v="0"/>
    <s v="Net Banking"/>
    <n v="423453"/>
  </r>
  <r>
    <s v="ORD0004"/>
    <x v="3"/>
    <x v="2"/>
    <x v="1"/>
    <s v="Furniture"/>
    <x v="3"/>
    <n v="5"/>
    <x v="3"/>
    <n v="10"/>
    <s v="Cash on Delivery"/>
    <n v="29412"/>
  </r>
  <r>
    <s v="ORD0005"/>
    <x v="4"/>
    <x v="1"/>
    <x v="3"/>
    <s v="Stationery"/>
    <x v="4"/>
    <n v="6"/>
    <x v="4"/>
    <n v="0"/>
    <s v="Net Banking"/>
    <n v="9282"/>
  </r>
  <r>
    <s v="ORD0006"/>
    <x v="5"/>
    <x v="0"/>
    <x v="4"/>
    <s v="Electronics"/>
    <x v="5"/>
    <n v="19"/>
    <x v="5"/>
    <n v="0"/>
    <s v="Net Banking"/>
    <n v="349239"/>
  </r>
  <r>
    <s v="ORD0007"/>
    <x v="6"/>
    <x v="2"/>
    <x v="5"/>
    <s v="Home Appliances"/>
    <x v="6"/>
    <n v="15"/>
    <x v="6"/>
    <n v="10"/>
    <s v="Debit Card"/>
    <n v="91476"/>
  </r>
  <r>
    <s v="ORD0008"/>
    <x v="7"/>
    <x v="0"/>
    <x v="5"/>
    <s v="Furniture"/>
    <x v="3"/>
    <n v="17"/>
    <x v="7"/>
    <n v="20"/>
    <s v="Debit Card"/>
    <n v="89052.800000000003"/>
  </r>
  <r>
    <s v="ORD0009"/>
    <x v="8"/>
    <x v="2"/>
    <x v="4"/>
    <s v="Electronics"/>
    <x v="0"/>
    <n v="6"/>
    <x v="8"/>
    <n v="10"/>
    <s v="Credit Card"/>
    <n v="297351"/>
  </r>
  <r>
    <s v="ORD0010"/>
    <x v="9"/>
    <x v="2"/>
    <x v="1"/>
    <s v="Electronics"/>
    <x v="5"/>
    <n v="11"/>
    <x v="9"/>
    <n v="10"/>
    <s v="Debit Card"/>
    <n v="179496.9"/>
  </r>
  <r>
    <s v="ORD0011"/>
    <x v="10"/>
    <x v="2"/>
    <x v="3"/>
    <s v="Home Appliances"/>
    <x v="7"/>
    <n v="9"/>
    <x v="10"/>
    <n v="20"/>
    <s v="UPI"/>
    <n v="23817.600000000002"/>
  </r>
  <r>
    <s v="ORD0012"/>
    <x v="11"/>
    <x v="3"/>
    <x v="5"/>
    <s v="Home Appliances"/>
    <x v="6"/>
    <n v="22"/>
    <x v="11"/>
    <n v="10"/>
    <s v="UPI"/>
    <n v="137550.6"/>
  </r>
  <r>
    <s v="ORD0013"/>
    <x v="12"/>
    <x v="3"/>
    <x v="6"/>
    <s v="Electronics"/>
    <x v="1"/>
    <n v="25"/>
    <x v="12"/>
    <n v="10"/>
    <s v="Credit Card"/>
    <n v="96772.5"/>
  </r>
  <r>
    <s v="ORD0014"/>
    <x v="13"/>
    <x v="0"/>
    <x v="0"/>
    <s v="Home Appliances"/>
    <x v="6"/>
    <n v="15"/>
    <x v="13"/>
    <n v="15"/>
    <s v="Net Banking"/>
    <n v="83053.5"/>
  </r>
  <r>
    <s v="ORD0015"/>
    <x v="14"/>
    <x v="0"/>
    <x v="2"/>
    <s v="Home Appliances"/>
    <x v="8"/>
    <n v="14"/>
    <x v="14"/>
    <n v="10"/>
    <s v="Cash on Delivery"/>
    <n v="14779.800000000001"/>
  </r>
  <r>
    <s v="ORD0016"/>
    <x v="15"/>
    <x v="0"/>
    <x v="1"/>
    <s v="Furniture"/>
    <x v="9"/>
    <n v="8"/>
    <x v="15"/>
    <n v="0"/>
    <s v="Cash on Delivery"/>
    <n v="62280"/>
  </r>
  <r>
    <s v="ORD0017"/>
    <x v="16"/>
    <x v="0"/>
    <x v="4"/>
    <s v="Stationery"/>
    <x v="10"/>
    <n v="18"/>
    <x v="16"/>
    <n v="10"/>
    <s v="Net Banking"/>
    <n v="3904.2000000000003"/>
  </r>
  <r>
    <s v="ORD0018"/>
    <x v="17"/>
    <x v="3"/>
    <x v="6"/>
    <s v="Electronics"/>
    <x v="1"/>
    <n v="25"/>
    <x v="17"/>
    <n v="15"/>
    <s v="Cash on Delivery"/>
    <n v="99428.75"/>
  </r>
  <r>
    <s v="ORD0019"/>
    <x v="18"/>
    <x v="2"/>
    <x v="1"/>
    <s v="Home Appliances"/>
    <x v="8"/>
    <n v="7"/>
    <x v="18"/>
    <n v="0"/>
    <s v="Credit Card"/>
    <n v="8316"/>
  </r>
  <r>
    <s v="ORD0020"/>
    <x v="19"/>
    <x v="0"/>
    <x v="1"/>
    <s v="Stationery"/>
    <x v="4"/>
    <n v="1"/>
    <x v="19"/>
    <n v="0"/>
    <s v="Net Banking"/>
    <n v="1432"/>
  </r>
  <r>
    <s v="ORD0021"/>
    <x v="20"/>
    <x v="3"/>
    <x v="3"/>
    <s v="Electronics"/>
    <x v="0"/>
    <n v="20"/>
    <x v="20"/>
    <n v="15"/>
    <s v="Credit Card"/>
    <n v="969986"/>
  </r>
  <r>
    <s v="ORD0022"/>
    <x v="21"/>
    <x v="3"/>
    <x v="4"/>
    <s v="Stationery"/>
    <x v="11"/>
    <n v="16"/>
    <x v="21"/>
    <n v="20"/>
    <s v="Cash on Delivery"/>
    <n v="1843.2"/>
  </r>
  <r>
    <s v="ORD0023"/>
    <x v="22"/>
    <x v="3"/>
    <x v="1"/>
    <s v="Furniture"/>
    <x v="3"/>
    <n v="24"/>
    <x v="22"/>
    <n v="10"/>
    <s v="Cash on Delivery"/>
    <n v="143899.20000000001"/>
  </r>
  <r>
    <s v="ORD0024"/>
    <x v="23"/>
    <x v="0"/>
    <x v="3"/>
    <s v="Electronics"/>
    <x v="2"/>
    <n v="17"/>
    <x v="23"/>
    <n v="10"/>
    <s v="Credit Card"/>
    <n v="351777.60000000003"/>
  </r>
  <r>
    <s v="ORD0025"/>
    <x v="24"/>
    <x v="1"/>
    <x v="2"/>
    <s v="Stationery"/>
    <x v="4"/>
    <n v="23"/>
    <x v="24"/>
    <n v="10"/>
    <s v="Net Banking"/>
    <n v="32167.8"/>
  </r>
  <r>
    <s v="ORD0026"/>
    <x v="25"/>
    <x v="0"/>
    <x v="4"/>
    <s v="Furniture"/>
    <x v="12"/>
    <n v="20"/>
    <x v="25"/>
    <n v="5"/>
    <s v="Credit Card"/>
    <n v="80883"/>
  </r>
  <r>
    <s v="ORD0027"/>
    <x v="26"/>
    <x v="2"/>
    <x v="5"/>
    <s v="Furniture"/>
    <x v="9"/>
    <n v="12"/>
    <x v="26"/>
    <n v="0"/>
    <s v="UPI"/>
    <n v="96168"/>
  </r>
  <r>
    <s v="ORD0028"/>
    <x v="27"/>
    <x v="3"/>
    <x v="0"/>
    <s v="Stationery"/>
    <x v="10"/>
    <n v="12"/>
    <x v="27"/>
    <n v="20"/>
    <s v="Debit Card"/>
    <n v="2438.4"/>
  </r>
  <r>
    <s v="ORD0029"/>
    <x v="25"/>
    <x v="1"/>
    <x v="6"/>
    <s v="Electronics"/>
    <x v="2"/>
    <n v="11"/>
    <x v="28"/>
    <n v="5"/>
    <s v="Cash on Delivery"/>
    <n v="229210.3"/>
  </r>
  <r>
    <s v="ORD0030"/>
    <x v="28"/>
    <x v="1"/>
    <x v="0"/>
    <s v="Stationery"/>
    <x v="4"/>
    <n v="22"/>
    <x v="29"/>
    <n v="0"/>
    <s v="Cash on Delivery"/>
    <n v="31614"/>
  </r>
  <r>
    <s v="ORD0031"/>
    <x v="29"/>
    <x v="0"/>
    <x v="0"/>
    <s v="Furniture"/>
    <x v="13"/>
    <n v="11"/>
    <x v="30"/>
    <n v="0"/>
    <s v="Cash on Delivery"/>
    <n v="282942"/>
  </r>
  <r>
    <s v="ORD0032"/>
    <x v="12"/>
    <x v="2"/>
    <x v="5"/>
    <s v="Electronics"/>
    <x v="2"/>
    <n v="5"/>
    <x v="31"/>
    <n v="0"/>
    <s v="Credit Card"/>
    <n v="106370"/>
  </r>
  <r>
    <s v="ORD0033"/>
    <x v="30"/>
    <x v="2"/>
    <x v="2"/>
    <s v="Furniture"/>
    <x v="13"/>
    <n v="12"/>
    <x v="32"/>
    <n v="0"/>
    <s v="Net Banking"/>
    <n v="304716"/>
  </r>
  <r>
    <s v="ORD0034"/>
    <x v="31"/>
    <x v="0"/>
    <x v="1"/>
    <s v="Electronics"/>
    <x v="0"/>
    <n v="5"/>
    <x v="33"/>
    <n v="15"/>
    <s v="Credit Card"/>
    <n v="234370.5"/>
  </r>
  <r>
    <s v="ORD0035"/>
    <x v="32"/>
    <x v="1"/>
    <x v="4"/>
    <s v="Furniture"/>
    <x v="12"/>
    <n v="25"/>
    <x v="34"/>
    <n v="10"/>
    <s v="Debit Card"/>
    <n v="94500"/>
  </r>
  <r>
    <s v="ORD0036"/>
    <x v="33"/>
    <x v="2"/>
    <x v="2"/>
    <s v="Furniture"/>
    <x v="3"/>
    <n v="12"/>
    <x v="35"/>
    <n v="20"/>
    <s v="Net Banking"/>
    <n v="64953.600000000006"/>
  </r>
  <r>
    <s v="ORD0037"/>
    <x v="34"/>
    <x v="2"/>
    <x v="2"/>
    <s v="Furniture"/>
    <x v="9"/>
    <n v="1"/>
    <x v="36"/>
    <n v="20"/>
    <s v="Credit Card"/>
    <n v="6414.4000000000005"/>
  </r>
  <r>
    <s v="ORD0038"/>
    <x v="35"/>
    <x v="1"/>
    <x v="2"/>
    <s v="Furniture"/>
    <x v="9"/>
    <n v="20"/>
    <x v="37"/>
    <n v="0"/>
    <s v="Net Banking"/>
    <n v="154260"/>
  </r>
  <r>
    <s v="ORD0039"/>
    <x v="11"/>
    <x v="3"/>
    <x v="5"/>
    <s v="Home Appliances"/>
    <x v="7"/>
    <n v="2"/>
    <x v="38"/>
    <n v="5"/>
    <s v="Credit Card"/>
    <n v="6311.7999999999993"/>
  </r>
  <r>
    <s v="ORD0040"/>
    <x v="36"/>
    <x v="1"/>
    <x v="2"/>
    <s v="Electronics"/>
    <x v="5"/>
    <n v="1"/>
    <x v="39"/>
    <n v="0"/>
    <s v="Cash on Delivery"/>
    <n v="17913"/>
  </r>
  <r>
    <s v="ORD0041"/>
    <x v="37"/>
    <x v="0"/>
    <x v="5"/>
    <s v="Stationery"/>
    <x v="11"/>
    <n v="16"/>
    <x v="40"/>
    <n v="5"/>
    <s v="Net Banking"/>
    <n v="2280"/>
  </r>
  <r>
    <s v="ORD0042"/>
    <x v="38"/>
    <x v="0"/>
    <x v="2"/>
    <s v="Home Appliances"/>
    <x v="7"/>
    <n v="13"/>
    <x v="41"/>
    <n v="20"/>
    <s v="Debit Card"/>
    <n v="32999.200000000004"/>
  </r>
  <r>
    <s v="ORD0043"/>
    <x v="39"/>
    <x v="0"/>
    <x v="0"/>
    <s v="Electronics"/>
    <x v="2"/>
    <n v="4"/>
    <x v="42"/>
    <n v="0"/>
    <s v="Debit Card"/>
    <n v="89488"/>
  </r>
  <r>
    <s v="ORD0044"/>
    <x v="4"/>
    <x v="3"/>
    <x v="6"/>
    <s v="Home Appliances"/>
    <x v="7"/>
    <n v="4"/>
    <x v="43"/>
    <n v="15"/>
    <s v="Cash on Delivery"/>
    <n v="11145.199999999999"/>
  </r>
  <r>
    <s v="ORD0045"/>
    <x v="40"/>
    <x v="0"/>
    <x v="6"/>
    <s v="Home Appliances"/>
    <x v="8"/>
    <n v="14"/>
    <x v="18"/>
    <n v="5"/>
    <s v="Debit Card"/>
    <n v="15800.4"/>
  </r>
  <r>
    <s v="ORD0046"/>
    <x v="41"/>
    <x v="1"/>
    <x v="5"/>
    <s v="Stationery"/>
    <x v="10"/>
    <n v="15"/>
    <x v="44"/>
    <n v="20"/>
    <s v="UPI"/>
    <n v="2940"/>
  </r>
  <r>
    <s v="ORD0047"/>
    <x v="42"/>
    <x v="3"/>
    <x v="3"/>
    <s v="Stationery"/>
    <x v="4"/>
    <n v="4"/>
    <x v="45"/>
    <n v="5"/>
    <s v="UPI"/>
    <n v="5962.2"/>
  </r>
  <r>
    <s v="ORD0048"/>
    <x v="43"/>
    <x v="3"/>
    <x v="4"/>
    <s v="Electronics"/>
    <x v="2"/>
    <n v="5"/>
    <x v="46"/>
    <n v="15"/>
    <s v="Debit Card"/>
    <n v="91349.5"/>
  </r>
  <r>
    <s v="ORD0049"/>
    <x v="44"/>
    <x v="0"/>
    <x v="3"/>
    <s v="Home Appliances"/>
    <x v="8"/>
    <n v="9"/>
    <x v="47"/>
    <n v="0"/>
    <s v="Credit Card"/>
    <n v="10611"/>
  </r>
  <r>
    <s v="ORD0050"/>
    <x v="2"/>
    <x v="1"/>
    <x v="4"/>
    <s v="Electronics"/>
    <x v="0"/>
    <n v="3"/>
    <x v="48"/>
    <n v="5"/>
    <s v="UPI"/>
    <n v="161475.29999999999"/>
  </r>
  <r>
    <s v="ORD0051"/>
    <x v="45"/>
    <x v="1"/>
    <x v="0"/>
    <s v="Electronics"/>
    <x v="14"/>
    <n v="14"/>
    <x v="49"/>
    <n v="10"/>
    <s v="Net Banking"/>
    <n v="33049.800000000003"/>
  </r>
  <r>
    <s v="ORD0052"/>
    <x v="46"/>
    <x v="1"/>
    <x v="3"/>
    <s v="Furniture"/>
    <x v="3"/>
    <n v="9"/>
    <x v="50"/>
    <n v="0"/>
    <s v="Credit Card"/>
    <n v="61236"/>
  </r>
  <r>
    <s v="ORD0053"/>
    <x v="47"/>
    <x v="3"/>
    <x v="5"/>
    <s v="Stationery"/>
    <x v="4"/>
    <n v="10"/>
    <x v="51"/>
    <n v="20"/>
    <s v="Net Banking"/>
    <n v="12304"/>
  </r>
  <r>
    <s v="ORD0054"/>
    <x v="48"/>
    <x v="0"/>
    <x v="4"/>
    <s v="Stationery"/>
    <x v="10"/>
    <n v="2"/>
    <x v="52"/>
    <n v="0"/>
    <s v="UPI"/>
    <n v="524"/>
  </r>
  <r>
    <s v="ORD0055"/>
    <x v="49"/>
    <x v="0"/>
    <x v="3"/>
    <s v="Home Appliances"/>
    <x v="7"/>
    <n v="4"/>
    <x v="53"/>
    <n v="15"/>
    <s v="Cash on Delivery"/>
    <n v="11352.6"/>
  </r>
  <r>
    <s v="ORD0056"/>
    <x v="33"/>
    <x v="2"/>
    <x v="3"/>
    <s v="Stationery"/>
    <x v="4"/>
    <n v="8"/>
    <x v="54"/>
    <n v="10"/>
    <s v="Credit Card"/>
    <n v="10490.4"/>
  </r>
  <r>
    <s v="ORD0057"/>
    <x v="50"/>
    <x v="0"/>
    <x v="0"/>
    <s v="Stationery"/>
    <x v="10"/>
    <n v="1"/>
    <x v="55"/>
    <n v="0"/>
    <s v="Debit Card"/>
    <n v="258"/>
  </r>
  <r>
    <s v="ORD0058"/>
    <x v="51"/>
    <x v="0"/>
    <x v="1"/>
    <s v="Electronics"/>
    <x v="1"/>
    <n v="22"/>
    <x v="56"/>
    <n v="10"/>
    <s v="Net Banking"/>
    <n v="92386.8"/>
  </r>
  <r>
    <s v="ORD0059"/>
    <x v="52"/>
    <x v="3"/>
    <x v="1"/>
    <s v="Home Appliances"/>
    <x v="7"/>
    <n v="15"/>
    <x v="57"/>
    <n v="0"/>
    <s v="Debit Card"/>
    <n v="46350"/>
  </r>
  <r>
    <s v="ORD0060"/>
    <x v="25"/>
    <x v="3"/>
    <x v="3"/>
    <s v="Stationery"/>
    <x v="10"/>
    <n v="10"/>
    <x v="58"/>
    <n v="5"/>
    <s v="Debit Card"/>
    <n v="2261"/>
  </r>
  <r>
    <s v="ORD0061"/>
    <x v="53"/>
    <x v="1"/>
    <x v="4"/>
    <s v="Home Appliances"/>
    <x v="7"/>
    <n v="17"/>
    <x v="59"/>
    <n v="5"/>
    <s v="Credit Card"/>
    <n v="51534.649999999994"/>
  </r>
  <r>
    <s v="ORD0062"/>
    <x v="54"/>
    <x v="1"/>
    <x v="1"/>
    <s v="Stationery"/>
    <x v="10"/>
    <n v="19"/>
    <x v="16"/>
    <n v="0"/>
    <s v="Cash on Delivery"/>
    <n v="4579"/>
  </r>
  <r>
    <s v="ORD0063"/>
    <x v="55"/>
    <x v="3"/>
    <x v="4"/>
    <s v="Furniture"/>
    <x v="3"/>
    <n v="17"/>
    <x v="60"/>
    <n v="0"/>
    <s v="Net Banking"/>
    <n v="111435"/>
  </r>
  <r>
    <s v="ORD0064"/>
    <x v="56"/>
    <x v="3"/>
    <x v="5"/>
    <s v="Home Appliances"/>
    <x v="7"/>
    <n v="20"/>
    <x v="61"/>
    <n v="0"/>
    <s v="UPI"/>
    <n v="62600"/>
  </r>
  <r>
    <s v="ORD0065"/>
    <x v="57"/>
    <x v="2"/>
    <x v="5"/>
    <s v="Furniture"/>
    <x v="3"/>
    <n v="19"/>
    <x v="62"/>
    <n v="5"/>
    <s v="UPI"/>
    <n v="121151.59999999999"/>
  </r>
  <r>
    <s v="ORD0066"/>
    <x v="58"/>
    <x v="1"/>
    <x v="6"/>
    <s v="Stationery"/>
    <x v="10"/>
    <n v="15"/>
    <x v="63"/>
    <n v="0"/>
    <s v="UPI"/>
    <n v="3690"/>
  </r>
  <r>
    <s v="ORD0067"/>
    <x v="59"/>
    <x v="0"/>
    <x v="0"/>
    <s v="Stationery"/>
    <x v="10"/>
    <n v="3"/>
    <x v="64"/>
    <n v="0"/>
    <s v="Net Banking"/>
    <n v="744"/>
  </r>
  <r>
    <s v="ORD0068"/>
    <x v="60"/>
    <x v="2"/>
    <x v="4"/>
    <s v="Electronics"/>
    <x v="14"/>
    <n v="25"/>
    <x v="65"/>
    <n v="5"/>
    <s v="Credit Card"/>
    <n v="57783.75"/>
  </r>
  <r>
    <s v="ORD0069"/>
    <x v="13"/>
    <x v="2"/>
    <x v="0"/>
    <s v="Home Appliances"/>
    <x v="7"/>
    <n v="22"/>
    <x v="66"/>
    <n v="10"/>
    <s v="UPI"/>
    <n v="63221.4"/>
  </r>
  <r>
    <s v="ORD0070"/>
    <x v="61"/>
    <x v="0"/>
    <x v="1"/>
    <s v="Furniture"/>
    <x v="12"/>
    <n v="24"/>
    <x v="67"/>
    <n v="10"/>
    <s v="Net Banking"/>
    <n v="88473.600000000006"/>
  </r>
  <r>
    <s v="ORD0071"/>
    <x v="62"/>
    <x v="0"/>
    <x v="1"/>
    <s v="Home Appliances"/>
    <x v="7"/>
    <n v="22"/>
    <x v="68"/>
    <n v="0"/>
    <s v="Credit Card"/>
    <n v="70290"/>
  </r>
  <r>
    <s v="ORD0072"/>
    <x v="48"/>
    <x v="2"/>
    <x v="4"/>
    <s v="Stationery"/>
    <x v="11"/>
    <n v="25"/>
    <x v="69"/>
    <n v="0"/>
    <s v="Net Banking"/>
    <n v="3725"/>
  </r>
  <r>
    <s v="ORD0073"/>
    <x v="47"/>
    <x v="3"/>
    <x v="1"/>
    <s v="Home Appliances"/>
    <x v="7"/>
    <n v="3"/>
    <x v="70"/>
    <n v="20"/>
    <s v="Debit Card"/>
    <n v="7516.8"/>
  </r>
  <r>
    <s v="ORD0074"/>
    <x v="56"/>
    <x v="0"/>
    <x v="6"/>
    <s v="Electronics"/>
    <x v="5"/>
    <n v="24"/>
    <x v="71"/>
    <n v="10"/>
    <s v="Debit Card"/>
    <n v="372859.2"/>
  </r>
  <r>
    <s v="ORD0075"/>
    <x v="46"/>
    <x v="3"/>
    <x v="1"/>
    <s v="Stationery"/>
    <x v="10"/>
    <n v="16"/>
    <x v="72"/>
    <n v="15"/>
    <s v="UPI"/>
    <n v="3386.4"/>
  </r>
  <r>
    <s v="ORD0076"/>
    <x v="63"/>
    <x v="1"/>
    <x v="0"/>
    <s v="Home Appliances"/>
    <x v="6"/>
    <n v="5"/>
    <x v="73"/>
    <n v="15"/>
    <s v="Debit Card"/>
    <n v="28326.25"/>
  </r>
  <r>
    <s v="ORD0077"/>
    <x v="64"/>
    <x v="3"/>
    <x v="1"/>
    <s v="Stationery"/>
    <x v="10"/>
    <n v="11"/>
    <x v="44"/>
    <n v="15"/>
    <s v="UPI"/>
    <n v="2290.75"/>
  </r>
  <r>
    <s v="ORD0078"/>
    <x v="65"/>
    <x v="1"/>
    <x v="5"/>
    <s v="Stationery"/>
    <x v="11"/>
    <n v="13"/>
    <x v="74"/>
    <n v="15"/>
    <s v="Net Banking"/>
    <n v="1635.3999999999999"/>
  </r>
  <r>
    <s v="ORD0079"/>
    <x v="66"/>
    <x v="3"/>
    <x v="0"/>
    <s v="Stationery"/>
    <x v="10"/>
    <n v="2"/>
    <x v="75"/>
    <n v="10"/>
    <s v="Credit Card"/>
    <n v="439.2"/>
  </r>
  <r>
    <s v="ORD0080"/>
    <x v="7"/>
    <x v="3"/>
    <x v="0"/>
    <s v="Stationery"/>
    <x v="10"/>
    <n v="14"/>
    <x v="76"/>
    <n v="0"/>
    <s v="Cash on Delivery"/>
    <n v="3584"/>
  </r>
  <r>
    <s v="ORD0081"/>
    <x v="67"/>
    <x v="0"/>
    <x v="5"/>
    <s v="Electronics"/>
    <x v="0"/>
    <n v="14"/>
    <x v="77"/>
    <n v="20"/>
    <s v="Net Banking"/>
    <n v="642700.80000000005"/>
  </r>
  <r>
    <s v="ORD0082"/>
    <x v="68"/>
    <x v="0"/>
    <x v="5"/>
    <s v="Stationery"/>
    <x v="11"/>
    <n v="18"/>
    <x v="78"/>
    <n v="0"/>
    <s v="Credit Card"/>
    <n v="2574"/>
  </r>
  <r>
    <s v="ORD0083"/>
    <x v="69"/>
    <x v="2"/>
    <x v="4"/>
    <s v="Stationery"/>
    <x v="11"/>
    <n v="24"/>
    <x v="79"/>
    <n v="10"/>
    <s v="Cash on Delivery"/>
    <n v="3153.6"/>
  </r>
  <r>
    <s v="ORD0084"/>
    <x v="70"/>
    <x v="0"/>
    <x v="4"/>
    <s v="Home Appliances"/>
    <x v="8"/>
    <n v="4"/>
    <x v="80"/>
    <n v="0"/>
    <s v="Credit Card"/>
    <n v="4880"/>
  </r>
  <r>
    <s v="ORD0085"/>
    <x v="66"/>
    <x v="0"/>
    <x v="3"/>
    <s v="Home Appliances"/>
    <x v="8"/>
    <n v="11"/>
    <x v="81"/>
    <n v="20"/>
    <s v="Cash on Delivery"/>
    <n v="10260.800000000001"/>
  </r>
  <r>
    <s v="ORD0086"/>
    <x v="71"/>
    <x v="0"/>
    <x v="6"/>
    <s v="Electronics"/>
    <x v="2"/>
    <n v="3"/>
    <x v="82"/>
    <n v="10"/>
    <s v="Credit Card"/>
    <n v="58460.4"/>
  </r>
  <r>
    <s v="ORD0087"/>
    <x v="72"/>
    <x v="3"/>
    <x v="2"/>
    <s v="Furniture"/>
    <x v="3"/>
    <n v="14"/>
    <x v="22"/>
    <n v="15"/>
    <s v="Cash on Delivery"/>
    <n v="79277.8"/>
  </r>
  <r>
    <s v="ORD0088"/>
    <x v="73"/>
    <x v="0"/>
    <x v="0"/>
    <s v="Stationery"/>
    <x v="11"/>
    <n v="16"/>
    <x v="83"/>
    <n v="10"/>
    <s v="Net Banking"/>
    <n v="2203.2000000000003"/>
  </r>
  <r>
    <s v="ORD0089"/>
    <x v="74"/>
    <x v="0"/>
    <x v="5"/>
    <s v="Furniture"/>
    <x v="3"/>
    <n v="8"/>
    <x v="84"/>
    <n v="15"/>
    <s v="Cash on Delivery"/>
    <n v="43186.799999999996"/>
  </r>
  <r>
    <s v="ORD0090"/>
    <x v="75"/>
    <x v="2"/>
    <x v="0"/>
    <s v="Stationery"/>
    <x v="10"/>
    <n v="14"/>
    <x v="85"/>
    <n v="20"/>
    <s v="Net Banking"/>
    <n v="2688"/>
  </r>
  <r>
    <s v="ORD0091"/>
    <x v="9"/>
    <x v="1"/>
    <x v="1"/>
    <s v="Home Appliances"/>
    <x v="8"/>
    <n v="15"/>
    <x v="86"/>
    <n v="5"/>
    <s v="UPI"/>
    <n v="17698.5"/>
  </r>
  <r>
    <s v="ORD0092"/>
    <x v="76"/>
    <x v="0"/>
    <x v="6"/>
    <s v="Electronics"/>
    <x v="1"/>
    <n v="25"/>
    <x v="87"/>
    <n v="0"/>
    <s v="UPI"/>
    <n v="107825"/>
  </r>
  <r>
    <s v="ORD0093"/>
    <x v="29"/>
    <x v="0"/>
    <x v="6"/>
    <s v="Electronics"/>
    <x v="14"/>
    <n v="21"/>
    <x v="88"/>
    <n v="10"/>
    <s v="Net Banking"/>
    <n v="49423.5"/>
  </r>
  <r>
    <s v="ORD0094"/>
    <x v="21"/>
    <x v="2"/>
    <x v="5"/>
    <s v="Electronics"/>
    <x v="0"/>
    <n v="17"/>
    <x v="89"/>
    <n v="5"/>
    <s v="Cash on Delivery"/>
    <n v="850071.39999999991"/>
  </r>
  <r>
    <s v="ORD0095"/>
    <x v="38"/>
    <x v="0"/>
    <x v="2"/>
    <s v="Electronics"/>
    <x v="0"/>
    <n v="15"/>
    <x v="90"/>
    <n v="10"/>
    <s v="Debit Card"/>
    <n v="745281"/>
  </r>
  <r>
    <s v="ORD0096"/>
    <x v="75"/>
    <x v="0"/>
    <x v="0"/>
    <s v="Furniture"/>
    <x v="9"/>
    <n v="14"/>
    <x v="91"/>
    <n v="10"/>
    <s v="UPI"/>
    <n v="96049.8"/>
  </r>
  <r>
    <s v="ORD0097"/>
    <x v="55"/>
    <x v="0"/>
    <x v="0"/>
    <s v="Home Appliances"/>
    <x v="7"/>
    <n v="22"/>
    <x v="92"/>
    <n v="15"/>
    <s v="Debit Card"/>
    <n v="58381.4"/>
  </r>
  <r>
    <s v="ORD0098"/>
    <x v="77"/>
    <x v="2"/>
    <x v="1"/>
    <s v="Stationery"/>
    <x v="4"/>
    <n v="22"/>
    <x v="93"/>
    <n v="15"/>
    <s v="Credit Card"/>
    <n v="27825.599999999999"/>
  </r>
  <r>
    <s v="ORD0099"/>
    <x v="78"/>
    <x v="3"/>
    <x v="5"/>
    <s v="Electronics"/>
    <x v="2"/>
    <n v="7"/>
    <x v="94"/>
    <n v="10"/>
    <s v="Credit Card"/>
    <n v="138537"/>
  </r>
  <r>
    <s v="ORD0100"/>
    <x v="15"/>
    <x v="2"/>
    <x v="6"/>
    <s v="Stationery"/>
    <x v="11"/>
    <n v="20"/>
    <x v="21"/>
    <n v="20"/>
    <s v="Net Banking"/>
    <n v="2304"/>
  </r>
  <r>
    <s v="ORD0101"/>
    <x v="79"/>
    <x v="0"/>
    <x v="0"/>
    <s v="Home Appliances"/>
    <x v="8"/>
    <n v="20"/>
    <x v="95"/>
    <n v="0"/>
    <s v="Cash on Delivery"/>
    <n v="22920"/>
  </r>
  <r>
    <s v="ORD0102"/>
    <x v="80"/>
    <x v="0"/>
    <x v="1"/>
    <s v="Furniture"/>
    <x v="13"/>
    <n v="2"/>
    <x v="96"/>
    <n v="0"/>
    <s v="Cash on Delivery"/>
    <n v="47758"/>
  </r>
  <r>
    <s v="ORD0103"/>
    <x v="81"/>
    <x v="3"/>
    <x v="5"/>
    <s v="Electronics"/>
    <x v="0"/>
    <n v="11"/>
    <x v="97"/>
    <n v="5"/>
    <s v="Credit Card"/>
    <n v="599547.85"/>
  </r>
  <r>
    <s v="ORD0104"/>
    <x v="70"/>
    <x v="2"/>
    <x v="1"/>
    <s v="Stationery"/>
    <x v="4"/>
    <n v="12"/>
    <x v="98"/>
    <n v="10"/>
    <s v="Cash on Delivery"/>
    <n v="16556.400000000001"/>
  </r>
  <r>
    <s v="ORD0105"/>
    <x v="82"/>
    <x v="1"/>
    <x v="1"/>
    <s v="Electronics"/>
    <x v="14"/>
    <n v="14"/>
    <x v="99"/>
    <n v="0"/>
    <s v="Net Banking"/>
    <n v="33530"/>
  </r>
  <r>
    <s v="ORD0106"/>
    <x v="83"/>
    <x v="0"/>
    <x v="0"/>
    <s v="Stationery"/>
    <x v="11"/>
    <n v="14"/>
    <x v="100"/>
    <n v="0"/>
    <s v="UPI"/>
    <n v="2156"/>
  </r>
  <r>
    <s v="ORD0107"/>
    <x v="50"/>
    <x v="2"/>
    <x v="6"/>
    <s v="Stationery"/>
    <x v="4"/>
    <n v="7"/>
    <x v="101"/>
    <n v="10"/>
    <s v="Debit Card"/>
    <n v="9840.6"/>
  </r>
  <r>
    <s v="ORD0108"/>
    <x v="84"/>
    <x v="2"/>
    <x v="1"/>
    <s v="Home Appliances"/>
    <x v="7"/>
    <n v="25"/>
    <x v="102"/>
    <n v="15"/>
    <s v="UPI"/>
    <n v="70103.75"/>
  </r>
  <r>
    <s v="ORD0109"/>
    <x v="64"/>
    <x v="1"/>
    <x v="0"/>
    <s v="Electronics"/>
    <x v="0"/>
    <n v="24"/>
    <x v="103"/>
    <n v="0"/>
    <s v="Net Banking"/>
    <n v="1287912"/>
  </r>
  <r>
    <s v="ORD0110"/>
    <x v="85"/>
    <x v="3"/>
    <x v="4"/>
    <s v="Stationery"/>
    <x v="4"/>
    <n v="24"/>
    <x v="104"/>
    <n v="10"/>
    <s v="Debit Card"/>
    <n v="30909.600000000002"/>
  </r>
  <r>
    <s v="ORD0111"/>
    <x v="86"/>
    <x v="1"/>
    <x v="5"/>
    <s v="Electronics"/>
    <x v="0"/>
    <n v="4"/>
    <x v="105"/>
    <n v="20"/>
    <s v="Cash on Delivery"/>
    <n v="181737.60000000001"/>
  </r>
  <r>
    <s v="ORD0112"/>
    <x v="87"/>
    <x v="2"/>
    <x v="2"/>
    <s v="Stationery"/>
    <x v="11"/>
    <n v="5"/>
    <x v="100"/>
    <n v="20"/>
    <s v="Credit Card"/>
    <n v="616"/>
  </r>
  <r>
    <s v="ORD0113"/>
    <x v="88"/>
    <x v="3"/>
    <x v="2"/>
    <s v="Furniture"/>
    <x v="9"/>
    <n v="11"/>
    <x v="106"/>
    <n v="20"/>
    <s v="Debit Card"/>
    <n v="69185.600000000006"/>
  </r>
  <r>
    <s v="ORD0114"/>
    <x v="29"/>
    <x v="1"/>
    <x v="3"/>
    <s v="Furniture"/>
    <x v="13"/>
    <n v="8"/>
    <x v="107"/>
    <n v="15"/>
    <s v="UPI"/>
    <n v="174297.60000000001"/>
  </r>
  <r>
    <s v="ORD0115"/>
    <x v="89"/>
    <x v="1"/>
    <x v="0"/>
    <s v="Stationery"/>
    <x v="10"/>
    <n v="4"/>
    <x v="52"/>
    <n v="0"/>
    <s v="Debit Card"/>
    <n v="1048"/>
  </r>
  <r>
    <s v="ORD0116"/>
    <x v="28"/>
    <x v="1"/>
    <x v="6"/>
    <s v="Electronics"/>
    <x v="1"/>
    <n v="23"/>
    <x v="108"/>
    <n v="20"/>
    <s v="Credit Card"/>
    <n v="82781.600000000006"/>
  </r>
  <r>
    <s v="ORD0117"/>
    <x v="15"/>
    <x v="0"/>
    <x v="0"/>
    <s v="Home Appliances"/>
    <x v="8"/>
    <n v="8"/>
    <x v="109"/>
    <n v="0"/>
    <s v="Debit Card"/>
    <n v="9968"/>
  </r>
  <r>
    <s v="ORD0118"/>
    <x v="90"/>
    <x v="3"/>
    <x v="3"/>
    <s v="Stationery"/>
    <x v="11"/>
    <n v="9"/>
    <x v="79"/>
    <n v="5"/>
    <s v="Cash on Delivery"/>
    <n v="1248.3"/>
  </r>
  <r>
    <s v="ORD0119"/>
    <x v="7"/>
    <x v="0"/>
    <x v="6"/>
    <s v="Furniture"/>
    <x v="9"/>
    <n v="19"/>
    <x v="110"/>
    <n v="5"/>
    <s v="Debit Card"/>
    <n v="141241.25"/>
  </r>
  <r>
    <s v="ORD0120"/>
    <x v="60"/>
    <x v="2"/>
    <x v="4"/>
    <s v="Furniture"/>
    <x v="9"/>
    <n v="4"/>
    <x v="111"/>
    <n v="20"/>
    <s v="UPI"/>
    <n v="25980.800000000003"/>
  </r>
  <r>
    <s v="ORD0121"/>
    <x v="91"/>
    <x v="1"/>
    <x v="0"/>
    <s v="Furniture"/>
    <x v="13"/>
    <n v="2"/>
    <x v="112"/>
    <n v="10"/>
    <s v="Credit Card"/>
    <n v="46863"/>
  </r>
  <r>
    <s v="ORD0122"/>
    <x v="92"/>
    <x v="1"/>
    <x v="6"/>
    <s v="Furniture"/>
    <x v="3"/>
    <n v="6"/>
    <x v="113"/>
    <n v="20"/>
    <s v="Net Banking"/>
    <n v="30796.800000000003"/>
  </r>
  <r>
    <s v="ORD0123"/>
    <x v="38"/>
    <x v="1"/>
    <x v="1"/>
    <s v="Stationery"/>
    <x v="10"/>
    <n v="11"/>
    <x v="58"/>
    <n v="0"/>
    <s v="UPI"/>
    <n v="2618"/>
  </r>
  <r>
    <s v="ORD0124"/>
    <x v="6"/>
    <x v="3"/>
    <x v="1"/>
    <s v="Furniture"/>
    <x v="3"/>
    <n v="14"/>
    <x v="114"/>
    <n v="10"/>
    <s v="Credit Card"/>
    <n v="84508.2"/>
  </r>
  <r>
    <s v="ORD0125"/>
    <x v="93"/>
    <x v="3"/>
    <x v="1"/>
    <s v="Furniture"/>
    <x v="3"/>
    <n v="18"/>
    <x v="115"/>
    <n v="20"/>
    <s v="UPI"/>
    <n v="96350.400000000009"/>
  </r>
  <r>
    <s v="ORD0126"/>
    <x v="94"/>
    <x v="1"/>
    <x v="2"/>
    <s v="Home Appliances"/>
    <x v="8"/>
    <n v="21"/>
    <x v="116"/>
    <n v="0"/>
    <s v="Credit Card"/>
    <n v="25326"/>
  </r>
  <r>
    <s v="ORD0127"/>
    <x v="95"/>
    <x v="3"/>
    <x v="0"/>
    <s v="Stationery"/>
    <x v="4"/>
    <n v="2"/>
    <x v="117"/>
    <n v="10"/>
    <s v="Net Banking"/>
    <n v="2647.8"/>
  </r>
  <r>
    <s v="ORD0128"/>
    <x v="96"/>
    <x v="2"/>
    <x v="0"/>
    <s v="Electronics"/>
    <x v="14"/>
    <n v="13"/>
    <x v="118"/>
    <n v="15"/>
    <s v="Credit Card"/>
    <n v="28022.799999999999"/>
  </r>
  <r>
    <s v="ORD0129"/>
    <x v="78"/>
    <x v="2"/>
    <x v="6"/>
    <s v="Home Appliances"/>
    <x v="7"/>
    <n v="13"/>
    <x v="119"/>
    <n v="10"/>
    <s v="Cash on Delivery"/>
    <n v="38633.4"/>
  </r>
  <r>
    <s v="ORD0130"/>
    <x v="97"/>
    <x v="0"/>
    <x v="6"/>
    <s v="Electronics"/>
    <x v="0"/>
    <n v="21"/>
    <x v="120"/>
    <n v="15"/>
    <s v="UPI"/>
    <n v="986801.54999999993"/>
  </r>
  <r>
    <s v="ORD0131"/>
    <x v="5"/>
    <x v="3"/>
    <x v="5"/>
    <s v="Furniture"/>
    <x v="9"/>
    <n v="6"/>
    <x v="121"/>
    <n v="0"/>
    <s v="UPI"/>
    <n v="47268"/>
  </r>
  <r>
    <s v="ORD0132"/>
    <x v="98"/>
    <x v="2"/>
    <x v="0"/>
    <s v="Furniture"/>
    <x v="12"/>
    <n v="2"/>
    <x v="122"/>
    <n v="20"/>
    <s v="Debit Card"/>
    <n v="6468.8"/>
  </r>
  <r>
    <s v="ORD0133"/>
    <x v="80"/>
    <x v="2"/>
    <x v="1"/>
    <s v="Furniture"/>
    <x v="9"/>
    <n v="20"/>
    <x v="123"/>
    <n v="5"/>
    <s v="Cash on Delivery"/>
    <n v="153824"/>
  </r>
  <r>
    <s v="ORD0134"/>
    <x v="53"/>
    <x v="0"/>
    <x v="1"/>
    <s v="Home Appliances"/>
    <x v="8"/>
    <n v="12"/>
    <x v="124"/>
    <n v="0"/>
    <s v="Credit Card"/>
    <n v="13896"/>
  </r>
  <r>
    <s v="ORD0135"/>
    <x v="7"/>
    <x v="0"/>
    <x v="1"/>
    <s v="Electronics"/>
    <x v="14"/>
    <n v="20"/>
    <x v="125"/>
    <n v="20"/>
    <s v="Net Banking"/>
    <n v="38464"/>
  </r>
  <r>
    <s v="ORD0136"/>
    <x v="59"/>
    <x v="3"/>
    <x v="5"/>
    <s v="Home Appliances"/>
    <x v="6"/>
    <n v="14"/>
    <x v="126"/>
    <n v="15"/>
    <s v="Debit Card"/>
    <n v="81586.399999999994"/>
  </r>
  <r>
    <s v="ORD0137"/>
    <x v="99"/>
    <x v="2"/>
    <x v="6"/>
    <s v="Electronics"/>
    <x v="0"/>
    <n v="16"/>
    <x v="127"/>
    <n v="20"/>
    <s v="Credit Card"/>
    <n v="712358.40000000002"/>
  </r>
  <r>
    <s v="ORD0138"/>
    <x v="99"/>
    <x v="2"/>
    <x v="2"/>
    <s v="Furniture"/>
    <x v="13"/>
    <n v="3"/>
    <x v="128"/>
    <n v="0"/>
    <s v="Debit Card"/>
    <n v="74250"/>
  </r>
  <r>
    <s v="ORD0139"/>
    <x v="51"/>
    <x v="3"/>
    <x v="1"/>
    <s v="Home Appliances"/>
    <x v="8"/>
    <n v="2"/>
    <x v="129"/>
    <n v="0"/>
    <s v="Credit Card"/>
    <n v="2402"/>
  </r>
  <r>
    <s v="ORD0140"/>
    <x v="43"/>
    <x v="3"/>
    <x v="2"/>
    <s v="Electronics"/>
    <x v="0"/>
    <n v="13"/>
    <x v="130"/>
    <n v="0"/>
    <s v="UPI"/>
    <n v="733018"/>
  </r>
  <r>
    <s v="ORD0141"/>
    <x v="60"/>
    <x v="1"/>
    <x v="6"/>
    <s v="Furniture"/>
    <x v="13"/>
    <n v="6"/>
    <x v="131"/>
    <n v="5"/>
    <s v="UPI"/>
    <n v="139473.29999999999"/>
  </r>
  <r>
    <s v="ORD0142"/>
    <x v="100"/>
    <x v="3"/>
    <x v="6"/>
    <s v="Stationery"/>
    <x v="4"/>
    <n v="15"/>
    <x v="132"/>
    <n v="0"/>
    <s v="Debit Card"/>
    <n v="21990"/>
  </r>
  <r>
    <s v="ORD0143"/>
    <x v="101"/>
    <x v="2"/>
    <x v="6"/>
    <s v="Stationery"/>
    <x v="4"/>
    <n v="11"/>
    <x v="133"/>
    <n v="10"/>
    <s v="UPI"/>
    <n v="14850"/>
  </r>
  <r>
    <s v="ORD0144"/>
    <x v="65"/>
    <x v="0"/>
    <x v="0"/>
    <s v="Furniture"/>
    <x v="12"/>
    <n v="13"/>
    <x v="134"/>
    <n v="0"/>
    <s v="Debit Card"/>
    <n v="55575"/>
  </r>
  <r>
    <s v="ORD0145"/>
    <x v="102"/>
    <x v="1"/>
    <x v="5"/>
    <s v="Stationery"/>
    <x v="11"/>
    <n v="19"/>
    <x v="40"/>
    <n v="0"/>
    <s v="Debit Card"/>
    <n v="2850"/>
  </r>
  <r>
    <s v="ORD0146"/>
    <x v="103"/>
    <x v="2"/>
    <x v="5"/>
    <s v="Stationery"/>
    <x v="11"/>
    <n v="12"/>
    <x v="74"/>
    <n v="0"/>
    <s v="Debit Card"/>
    <n v="1776"/>
  </r>
  <r>
    <s v="ORD0147"/>
    <x v="104"/>
    <x v="1"/>
    <x v="0"/>
    <s v="Furniture"/>
    <x v="9"/>
    <n v="2"/>
    <x v="135"/>
    <n v="10"/>
    <s v="Net Banking"/>
    <n v="14565.6"/>
  </r>
  <r>
    <s v="ORD0148"/>
    <x v="105"/>
    <x v="3"/>
    <x v="5"/>
    <s v="Stationery"/>
    <x v="4"/>
    <n v="2"/>
    <x v="136"/>
    <n v="5"/>
    <s v="Credit Card"/>
    <n v="2707.5"/>
  </r>
  <r>
    <s v="ORD0149"/>
    <x v="106"/>
    <x v="2"/>
    <x v="0"/>
    <s v="Stationery"/>
    <x v="10"/>
    <n v="8"/>
    <x v="85"/>
    <n v="0"/>
    <s v="UPI"/>
    <n v="1920"/>
  </r>
  <r>
    <s v="ORD0150"/>
    <x v="80"/>
    <x v="1"/>
    <x v="3"/>
    <s v="Stationery"/>
    <x v="11"/>
    <n v="12"/>
    <x v="21"/>
    <n v="5"/>
    <s v="Cash on Delivery"/>
    <n v="1641.6"/>
  </r>
  <r>
    <m/>
    <x v="107"/>
    <x v="4"/>
    <x v="7"/>
    <m/>
    <x v="15"/>
    <m/>
    <x v="137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858DCA-D5F8-40E8-A528-1E38FD93A615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F44:G53" firstHeaderRow="1" firstDataRow="1" firstDataCol="1"/>
  <pivotFields count="13">
    <pivotField showAll="0"/>
    <pivotField showAll="0">
      <items count="109">
        <item x="78"/>
        <item x="88"/>
        <item x="55"/>
        <item x="58"/>
        <item x="80"/>
        <item x="1"/>
        <item x="11"/>
        <item x="60"/>
        <item x="39"/>
        <item x="66"/>
        <item x="43"/>
        <item x="20"/>
        <item x="91"/>
        <item x="98"/>
        <item x="102"/>
        <item x="92"/>
        <item x="46"/>
        <item x="71"/>
        <item x="4"/>
        <item x="63"/>
        <item x="40"/>
        <item x="82"/>
        <item x="53"/>
        <item x="79"/>
        <item x="65"/>
        <item x="47"/>
        <item x="6"/>
        <item x="32"/>
        <item x="76"/>
        <item x="77"/>
        <item x="15"/>
        <item x="52"/>
        <item x="7"/>
        <item x="105"/>
        <item x="38"/>
        <item x="45"/>
        <item x="36"/>
        <item x="14"/>
        <item x="106"/>
        <item x="90"/>
        <item x="86"/>
        <item x="41"/>
        <item x="0"/>
        <item x="37"/>
        <item x="104"/>
        <item x="85"/>
        <item x="100"/>
        <item x="96"/>
        <item x="74"/>
        <item x="25"/>
        <item x="72"/>
        <item x="64"/>
        <item x="42"/>
        <item x="56"/>
        <item x="95"/>
        <item x="18"/>
        <item x="44"/>
        <item x="94"/>
        <item x="2"/>
        <item x="51"/>
        <item x="19"/>
        <item x="99"/>
        <item x="81"/>
        <item x="12"/>
        <item x="69"/>
        <item x="22"/>
        <item x="9"/>
        <item x="101"/>
        <item x="54"/>
        <item x="103"/>
        <item x="33"/>
        <item x="31"/>
        <item x="67"/>
        <item x="17"/>
        <item x="62"/>
        <item x="5"/>
        <item x="3"/>
        <item x="16"/>
        <item x="30"/>
        <item x="10"/>
        <item x="35"/>
        <item x="61"/>
        <item x="93"/>
        <item x="28"/>
        <item x="59"/>
        <item x="21"/>
        <item x="75"/>
        <item x="89"/>
        <item x="70"/>
        <item x="48"/>
        <item x="24"/>
        <item x="23"/>
        <item x="50"/>
        <item x="57"/>
        <item x="8"/>
        <item x="49"/>
        <item x="84"/>
        <item x="13"/>
        <item x="73"/>
        <item x="68"/>
        <item x="83"/>
        <item x="97"/>
        <item x="87"/>
        <item x="29"/>
        <item x="27"/>
        <item x="34"/>
        <item x="26"/>
        <item x="107"/>
        <item t="default"/>
      </items>
    </pivotField>
    <pivotField showAll="0">
      <items count="6">
        <item x="3"/>
        <item x="1"/>
        <item x="0"/>
        <item x="2"/>
        <item h="1" x="4"/>
        <item t="default"/>
      </items>
    </pivotField>
    <pivotField showAll="0"/>
    <pivotField showAll="0"/>
    <pivotField showAll="0" sortType="ascending">
      <items count="17">
        <item x="6"/>
        <item x="4"/>
        <item x="12"/>
        <item x="8"/>
        <item x="14"/>
        <item x="0"/>
        <item x="7"/>
        <item x="10"/>
        <item x="3"/>
        <item x="11"/>
        <item x="2"/>
        <item x="1"/>
        <item x="13"/>
        <item x="9"/>
        <item x="5"/>
        <item x="15"/>
        <item t="default"/>
      </items>
    </pivotField>
    <pivotField showAll="0"/>
    <pivotField showAll="0">
      <items count="139">
        <item x="78"/>
        <item x="21"/>
        <item x="79"/>
        <item x="74"/>
        <item x="69"/>
        <item x="40"/>
        <item x="83"/>
        <item x="100"/>
        <item x="58"/>
        <item x="85"/>
        <item x="16"/>
        <item x="75"/>
        <item x="44"/>
        <item x="63"/>
        <item x="64"/>
        <item x="72"/>
        <item x="27"/>
        <item x="76"/>
        <item x="55"/>
        <item x="52"/>
        <item x="95"/>
        <item x="124"/>
        <item x="81"/>
        <item x="14"/>
        <item x="47"/>
        <item x="18"/>
        <item x="129"/>
        <item x="116"/>
        <item x="80"/>
        <item x="86"/>
        <item x="109"/>
        <item x="136"/>
        <item x="104"/>
        <item x="19"/>
        <item x="29"/>
        <item x="54"/>
        <item x="132"/>
        <item x="117"/>
        <item x="93"/>
        <item x="133"/>
        <item x="98"/>
        <item x="51"/>
        <item x="4"/>
        <item x="24"/>
        <item x="101"/>
        <item x="45"/>
        <item x="99"/>
        <item x="125"/>
        <item x="65"/>
        <item x="118"/>
        <item x="88"/>
        <item x="49"/>
        <item x="57"/>
        <item x="92"/>
        <item x="61"/>
        <item x="70"/>
        <item x="41"/>
        <item x="59"/>
        <item x="66"/>
        <item x="68"/>
        <item x="43"/>
        <item x="102"/>
        <item x="119"/>
        <item x="10"/>
        <item x="38"/>
        <item x="53"/>
        <item x="122"/>
        <item x="67"/>
        <item x="34"/>
        <item x="25"/>
        <item x="134"/>
        <item x="12"/>
        <item x="87"/>
        <item x="1"/>
        <item x="108"/>
        <item x="56"/>
        <item x="17"/>
        <item x="84"/>
        <item x="113"/>
        <item x="13"/>
        <item x="3"/>
        <item x="7"/>
        <item x="60"/>
        <item x="22"/>
        <item x="73"/>
        <item x="115"/>
        <item x="114"/>
        <item x="62"/>
        <item x="35"/>
        <item x="6"/>
        <item x="50"/>
        <item x="126"/>
        <item x="11"/>
        <item x="91"/>
        <item x="37"/>
        <item x="15"/>
        <item x="110"/>
        <item x="106"/>
        <item x="121"/>
        <item x="26"/>
        <item x="36"/>
        <item x="135"/>
        <item x="123"/>
        <item x="111"/>
        <item x="71"/>
        <item x="39"/>
        <item x="9"/>
        <item x="5"/>
        <item x="31"/>
        <item x="46"/>
        <item x="82"/>
        <item x="28"/>
        <item x="94"/>
        <item x="2"/>
        <item x="42"/>
        <item x="23"/>
        <item x="96"/>
        <item x="131"/>
        <item x="128"/>
        <item x="32"/>
        <item x="107"/>
        <item x="30"/>
        <item x="112"/>
        <item x="89"/>
        <item x="103"/>
        <item x="8"/>
        <item x="33"/>
        <item x="90"/>
        <item x="120"/>
        <item x="127"/>
        <item x="130"/>
        <item x="48"/>
        <item x="0"/>
        <item x="105"/>
        <item x="20"/>
        <item x="97"/>
        <item x="77"/>
        <item x="137"/>
        <item t="default"/>
      </items>
    </pivotField>
    <pivotField showAll="0"/>
    <pivotField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 revenue" fld="10" baseField="0" baseItem="0"/>
  </dataFields>
  <chartFormats count="1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944B04-411F-4436-ADED-5352D2E26BA3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M28:N33" firstHeaderRow="1" firstDataRow="1" firstDataCol="1"/>
  <pivotFields count="13">
    <pivotField showAll="0"/>
    <pivotField showAll="0">
      <items count="109">
        <item x="78"/>
        <item x="88"/>
        <item x="55"/>
        <item x="58"/>
        <item x="80"/>
        <item x="1"/>
        <item x="11"/>
        <item x="60"/>
        <item x="39"/>
        <item x="66"/>
        <item x="43"/>
        <item x="20"/>
        <item x="91"/>
        <item x="98"/>
        <item x="102"/>
        <item x="92"/>
        <item x="46"/>
        <item x="71"/>
        <item x="4"/>
        <item x="63"/>
        <item x="40"/>
        <item x="82"/>
        <item x="53"/>
        <item x="79"/>
        <item x="65"/>
        <item x="47"/>
        <item x="6"/>
        <item x="32"/>
        <item x="76"/>
        <item x="77"/>
        <item x="15"/>
        <item x="52"/>
        <item x="7"/>
        <item x="105"/>
        <item x="38"/>
        <item x="45"/>
        <item x="36"/>
        <item x="14"/>
        <item x="106"/>
        <item x="90"/>
        <item x="86"/>
        <item x="41"/>
        <item x="0"/>
        <item x="37"/>
        <item x="104"/>
        <item x="85"/>
        <item x="100"/>
        <item x="96"/>
        <item x="74"/>
        <item x="25"/>
        <item x="72"/>
        <item x="64"/>
        <item x="42"/>
        <item x="56"/>
        <item x="95"/>
        <item x="18"/>
        <item x="44"/>
        <item x="94"/>
        <item x="2"/>
        <item x="51"/>
        <item x="19"/>
        <item x="99"/>
        <item x="81"/>
        <item x="12"/>
        <item x="69"/>
        <item x="22"/>
        <item x="9"/>
        <item x="101"/>
        <item x="54"/>
        <item x="103"/>
        <item x="33"/>
        <item x="31"/>
        <item x="67"/>
        <item x="17"/>
        <item x="62"/>
        <item x="5"/>
        <item x="3"/>
        <item x="16"/>
        <item x="30"/>
        <item x="10"/>
        <item x="35"/>
        <item x="61"/>
        <item x="93"/>
        <item x="28"/>
        <item x="59"/>
        <item x="21"/>
        <item x="75"/>
        <item x="89"/>
        <item x="70"/>
        <item x="48"/>
        <item x="24"/>
        <item x="23"/>
        <item x="50"/>
        <item x="57"/>
        <item x="8"/>
        <item x="49"/>
        <item x="84"/>
        <item x="13"/>
        <item x="73"/>
        <item x="68"/>
        <item x="83"/>
        <item x="97"/>
        <item x="87"/>
        <item x="29"/>
        <item x="27"/>
        <item x="34"/>
        <item x="26"/>
        <item x="107"/>
        <item t="default"/>
      </items>
    </pivotField>
    <pivotField axis="axisRow" showAll="0">
      <items count="6">
        <item x="3"/>
        <item x="1"/>
        <item x="0"/>
        <item x="2"/>
        <item h="1" x="4"/>
        <item t="default"/>
      </items>
    </pivotField>
    <pivotField showAll="0"/>
    <pivotField showAll="0"/>
    <pivotField showAll="0" sortType="ascending">
      <items count="17">
        <item x="6"/>
        <item x="4"/>
        <item x="12"/>
        <item x="8"/>
        <item x="14"/>
        <item x="0"/>
        <item x="7"/>
        <item x="10"/>
        <item x="3"/>
        <item x="11"/>
        <item x="2"/>
        <item x="1"/>
        <item x="13"/>
        <item x="9"/>
        <item x="5"/>
        <item x="15"/>
        <item t="default"/>
      </items>
    </pivotField>
    <pivotField showAll="0"/>
    <pivotField showAll="0">
      <items count="139">
        <item x="78"/>
        <item x="21"/>
        <item x="79"/>
        <item x="74"/>
        <item x="69"/>
        <item x="40"/>
        <item x="83"/>
        <item x="100"/>
        <item x="58"/>
        <item x="85"/>
        <item x="16"/>
        <item x="75"/>
        <item x="44"/>
        <item x="63"/>
        <item x="64"/>
        <item x="72"/>
        <item x="27"/>
        <item x="76"/>
        <item x="55"/>
        <item x="52"/>
        <item x="95"/>
        <item x="124"/>
        <item x="81"/>
        <item x="14"/>
        <item x="47"/>
        <item x="18"/>
        <item x="129"/>
        <item x="116"/>
        <item x="80"/>
        <item x="86"/>
        <item x="109"/>
        <item x="136"/>
        <item x="104"/>
        <item x="19"/>
        <item x="29"/>
        <item x="54"/>
        <item x="132"/>
        <item x="117"/>
        <item x="93"/>
        <item x="133"/>
        <item x="98"/>
        <item x="51"/>
        <item x="4"/>
        <item x="24"/>
        <item x="101"/>
        <item x="45"/>
        <item x="99"/>
        <item x="125"/>
        <item x="65"/>
        <item x="118"/>
        <item x="88"/>
        <item x="49"/>
        <item x="57"/>
        <item x="92"/>
        <item x="61"/>
        <item x="70"/>
        <item x="41"/>
        <item x="59"/>
        <item x="66"/>
        <item x="68"/>
        <item x="43"/>
        <item x="102"/>
        <item x="119"/>
        <item x="10"/>
        <item x="38"/>
        <item x="53"/>
        <item x="122"/>
        <item x="67"/>
        <item x="34"/>
        <item x="25"/>
        <item x="134"/>
        <item x="12"/>
        <item x="87"/>
        <item x="1"/>
        <item x="108"/>
        <item x="56"/>
        <item x="17"/>
        <item x="84"/>
        <item x="113"/>
        <item x="13"/>
        <item x="3"/>
        <item x="7"/>
        <item x="60"/>
        <item x="22"/>
        <item x="73"/>
        <item x="115"/>
        <item x="114"/>
        <item x="62"/>
        <item x="35"/>
        <item x="6"/>
        <item x="50"/>
        <item x="126"/>
        <item x="11"/>
        <item x="91"/>
        <item x="37"/>
        <item x="15"/>
        <item x="110"/>
        <item x="106"/>
        <item x="121"/>
        <item x="26"/>
        <item x="36"/>
        <item x="135"/>
        <item x="123"/>
        <item x="111"/>
        <item x="71"/>
        <item x="39"/>
        <item x="9"/>
        <item x="5"/>
        <item x="31"/>
        <item x="46"/>
        <item x="82"/>
        <item x="28"/>
        <item x="94"/>
        <item x="2"/>
        <item x="42"/>
        <item x="23"/>
        <item x="96"/>
        <item x="131"/>
        <item x="128"/>
        <item x="32"/>
        <item x="107"/>
        <item x="30"/>
        <item x="112"/>
        <item x="89"/>
        <item x="103"/>
        <item x="8"/>
        <item x="33"/>
        <item x="90"/>
        <item x="120"/>
        <item x="127"/>
        <item x="130"/>
        <item x="48"/>
        <item x="0"/>
        <item x="105"/>
        <item x="20"/>
        <item x="97"/>
        <item x="77"/>
        <item x="137"/>
        <item t="default"/>
      </items>
    </pivotField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revenue" fld="10" baseField="0" baseItem="0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CC98D8-D87C-415F-BD29-B6448728A907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L6:M14" firstHeaderRow="1" firstDataRow="1" firstDataCol="1"/>
  <pivotFields count="13">
    <pivotField showAll="0"/>
    <pivotField showAll="0">
      <items count="109">
        <item x="78"/>
        <item x="88"/>
        <item x="55"/>
        <item x="58"/>
        <item x="80"/>
        <item x="1"/>
        <item x="11"/>
        <item x="60"/>
        <item x="39"/>
        <item x="66"/>
        <item x="43"/>
        <item x="20"/>
        <item x="91"/>
        <item x="98"/>
        <item x="102"/>
        <item x="92"/>
        <item x="46"/>
        <item x="71"/>
        <item x="4"/>
        <item x="63"/>
        <item x="40"/>
        <item x="82"/>
        <item x="53"/>
        <item x="79"/>
        <item x="65"/>
        <item x="47"/>
        <item x="6"/>
        <item x="32"/>
        <item x="76"/>
        <item x="77"/>
        <item x="15"/>
        <item x="52"/>
        <item x="7"/>
        <item x="105"/>
        <item x="38"/>
        <item x="45"/>
        <item x="36"/>
        <item x="14"/>
        <item x="106"/>
        <item x="90"/>
        <item x="86"/>
        <item x="41"/>
        <item x="0"/>
        <item x="37"/>
        <item x="104"/>
        <item x="85"/>
        <item x="100"/>
        <item x="96"/>
        <item x="74"/>
        <item x="25"/>
        <item x="72"/>
        <item x="64"/>
        <item x="42"/>
        <item x="56"/>
        <item x="95"/>
        <item x="18"/>
        <item x="44"/>
        <item x="94"/>
        <item x="2"/>
        <item x="51"/>
        <item x="19"/>
        <item x="99"/>
        <item x="81"/>
        <item x="12"/>
        <item x="69"/>
        <item x="22"/>
        <item x="9"/>
        <item x="101"/>
        <item x="54"/>
        <item x="103"/>
        <item x="33"/>
        <item x="31"/>
        <item x="67"/>
        <item x="17"/>
        <item x="62"/>
        <item x="5"/>
        <item x="3"/>
        <item x="16"/>
        <item x="30"/>
        <item x="10"/>
        <item x="35"/>
        <item x="61"/>
        <item x="93"/>
        <item x="28"/>
        <item x="59"/>
        <item x="21"/>
        <item x="75"/>
        <item x="89"/>
        <item x="70"/>
        <item x="48"/>
        <item x="24"/>
        <item x="23"/>
        <item x="50"/>
        <item x="57"/>
        <item x="8"/>
        <item x="49"/>
        <item x="84"/>
        <item x="13"/>
        <item x="73"/>
        <item x="68"/>
        <item x="83"/>
        <item x="97"/>
        <item x="87"/>
        <item x="29"/>
        <item x="27"/>
        <item x="34"/>
        <item x="26"/>
        <item x="107"/>
        <item t="default"/>
      </items>
    </pivotField>
    <pivotField showAll="0">
      <items count="6">
        <item x="3"/>
        <item x="1"/>
        <item x="0"/>
        <item x="2"/>
        <item x="4"/>
        <item t="default"/>
      </items>
    </pivotField>
    <pivotField axis="axisRow" showAll="0">
      <items count="9">
        <item x="1"/>
        <item x="0"/>
        <item x="2"/>
        <item x="5"/>
        <item x="6"/>
        <item x="4"/>
        <item x="3"/>
        <item h="1" x="7"/>
        <item t="default"/>
      </items>
    </pivotField>
    <pivotField showAll="0"/>
    <pivotField showAll="0" sortType="ascending">
      <items count="17">
        <item x="6"/>
        <item x="4"/>
        <item x="12"/>
        <item x="8"/>
        <item x="14"/>
        <item x="0"/>
        <item x="7"/>
        <item x="10"/>
        <item x="3"/>
        <item x="11"/>
        <item x="2"/>
        <item x="1"/>
        <item x="13"/>
        <item x="9"/>
        <item x="5"/>
        <item x="15"/>
        <item t="default"/>
      </items>
    </pivotField>
    <pivotField dataField="1" showAll="0"/>
    <pivotField showAll="0">
      <items count="139">
        <item x="78"/>
        <item x="21"/>
        <item x="79"/>
        <item x="74"/>
        <item x="69"/>
        <item x="40"/>
        <item x="83"/>
        <item x="100"/>
        <item x="58"/>
        <item x="85"/>
        <item x="16"/>
        <item x="75"/>
        <item x="44"/>
        <item x="63"/>
        <item x="64"/>
        <item x="72"/>
        <item x="27"/>
        <item x="76"/>
        <item x="55"/>
        <item x="52"/>
        <item x="95"/>
        <item x="124"/>
        <item x="81"/>
        <item x="14"/>
        <item x="47"/>
        <item x="18"/>
        <item x="129"/>
        <item x="116"/>
        <item x="80"/>
        <item x="86"/>
        <item x="109"/>
        <item x="136"/>
        <item x="104"/>
        <item x="19"/>
        <item x="29"/>
        <item x="54"/>
        <item x="132"/>
        <item x="117"/>
        <item x="93"/>
        <item x="133"/>
        <item x="98"/>
        <item x="51"/>
        <item x="4"/>
        <item x="24"/>
        <item x="101"/>
        <item x="45"/>
        <item x="99"/>
        <item x="125"/>
        <item x="65"/>
        <item x="118"/>
        <item x="88"/>
        <item x="49"/>
        <item x="57"/>
        <item x="92"/>
        <item x="61"/>
        <item x="70"/>
        <item x="41"/>
        <item x="59"/>
        <item x="66"/>
        <item x="68"/>
        <item x="43"/>
        <item x="102"/>
        <item x="119"/>
        <item x="10"/>
        <item x="38"/>
        <item x="53"/>
        <item x="122"/>
        <item x="67"/>
        <item x="34"/>
        <item x="25"/>
        <item x="134"/>
        <item x="12"/>
        <item x="87"/>
        <item x="1"/>
        <item x="108"/>
        <item x="56"/>
        <item x="17"/>
        <item x="84"/>
        <item x="113"/>
        <item x="13"/>
        <item x="3"/>
        <item x="7"/>
        <item x="60"/>
        <item x="22"/>
        <item x="73"/>
        <item x="115"/>
        <item x="114"/>
        <item x="62"/>
        <item x="35"/>
        <item x="6"/>
        <item x="50"/>
        <item x="126"/>
        <item x="11"/>
        <item x="91"/>
        <item x="37"/>
        <item x="15"/>
        <item x="110"/>
        <item x="106"/>
        <item x="121"/>
        <item x="26"/>
        <item x="36"/>
        <item x="135"/>
        <item x="123"/>
        <item x="111"/>
        <item x="71"/>
        <item x="39"/>
        <item x="9"/>
        <item x="5"/>
        <item x="31"/>
        <item x="46"/>
        <item x="82"/>
        <item x="28"/>
        <item x="94"/>
        <item x="2"/>
        <item x="42"/>
        <item x="23"/>
        <item x="96"/>
        <item x="131"/>
        <item x="128"/>
        <item x="32"/>
        <item x="107"/>
        <item x="30"/>
        <item x="112"/>
        <item x="89"/>
        <item x="103"/>
        <item x="8"/>
        <item x="33"/>
        <item x="90"/>
        <item x="120"/>
        <item x="127"/>
        <item x="130"/>
        <item x="48"/>
        <item x="0"/>
        <item x="105"/>
        <item x="20"/>
        <item x="97"/>
        <item x="77"/>
        <item x="137"/>
        <item t="default"/>
      </items>
    </pivotField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Units Sold" fld="6" baseField="0" baseItem="0"/>
  </dataFields>
  <chartFormats count="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5D6939-88EE-4C42-AACD-44552BCCB229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B25:C42" firstHeaderRow="1" firstDataRow="1" firstDataCol="1"/>
  <pivotFields count="13">
    <pivotField showAll="0"/>
    <pivotField showAll="0">
      <items count="109">
        <item x="78"/>
        <item x="88"/>
        <item x="55"/>
        <item x="58"/>
        <item x="80"/>
        <item x="1"/>
        <item x="11"/>
        <item x="60"/>
        <item x="39"/>
        <item x="66"/>
        <item x="43"/>
        <item x="20"/>
        <item x="91"/>
        <item x="98"/>
        <item x="102"/>
        <item x="92"/>
        <item x="46"/>
        <item x="71"/>
        <item x="4"/>
        <item x="63"/>
        <item x="40"/>
        <item x="82"/>
        <item x="53"/>
        <item x="79"/>
        <item x="65"/>
        <item x="47"/>
        <item x="6"/>
        <item x="32"/>
        <item x="76"/>
        <item x="77"/>
        <item x="15"/>
        <item x="52"/>
        <item x="7"/>
        <item x="105"/>
        <item x="38"/>
        <item x="45"/>
        <item x="36"/>
        <item x="14"/>
        <item x="106"/>
        <item x="90"/>
        <item x="86"/>
        <item x="41"/>
        <item x="0"/>
        <item x="37"/>
        <item x="104"/>
        <item x="85"/>
        <item x="100"/>
        <item x="96"/>
        <item x="74"/>
        <item x="25"/>
        <item x="72"/>
        <item x="64"/>
        <item x="42"/>
        <item x="56"/>
        <item x="95"/>
        <item x="18"/>
        <item x="44"/>
        <item x="94"/>
        <item x="2"/>
        <item x="51"/>
        <item x="19"/>
        <item x="99"/>
        <item x="81"/>
        <item x="12"/>
        <item x="69"/>
        <item x="22"/>
        <item x="9"/>
        <item x="101"/>
        <item x="54"/>
        <item x="103"/>
        <item x="33"/>
        <item x="31"/>
        <item x="67"/>
        <item x="17"/>
        <item x="62"/>
        <item x="5"/>
        <item x="3"/>
        <item x="16"/>
        <item x="30"/>
        <item x="10"/>
        <item x="35"/>
        <item x="61"/>
        <item x="93"/>
        <item x="28"/>
        <item x="59"/>
        <item x="21"/>
        <item x="75"/>
        <item x="89"/>
        <item x="70"/>
        <item x="48"/>
        <item x="24"/>
        <item x="23"/>
        <item x="50"/>
        <item x="57"/>
        <item x="8"/>
        <item x="49"/>
        <item x="84"/>
        <item x="13"/>
        <item x="73"/>
        <item x="68"/>
        <item x="83"/>
        <item x="97"/>
        <item x="87"/>
        <item x="29"/>
        <item x="27"/>
        <item x="34"/>
        <item x="26"/>
        <item x="107"/>
        <item t="default"/>
      </items>
    </pivotField>
    <pivotField showAll="0"/>
    <pivotField showAll="0"/>
    <pivotField showAll="0"/>
    <pivotField axis="axisRow" showAll="0" sortType="ascending">
      <items count="17">
        <item x="6"/>
        <item x="4"/>
        <item x="12"/>
        <item x="8"/>
        <item x="14"/>
        <item x="0"/>
        <item x="7"/>
        <item x="10"/>
        <item x="3"/>
        <item x="11"/>
        <item x="2"/>
        <item x="1"/>
        <item x="13"/>
        <item x="9"/>
        <item x="5"/>
        <item x="15"/>
        <item t="default"/>
      </items>
    </pivotField>
    <pivotField dataField="1" showAll="0"/>
    <pivotField showAll="0">
      <items count="139">
        <item x="78"/>
        <item x="21"/>
        <item x="79"/>
        <item x="74"/>
        <item x="69"/>
        <item x="40"/>
        <item x="83"/>
        <item x="100"/>
        <item x="58"/>
        <item x="85"/>
        <item x="16"/>
        <item x="75"/>
        <item x="44"/>
        <item x="63"/>
        <item x="64"/>
        <item x="72"/>
        <item x="27"/>
        <item x="76"/>
        <item x="55"/>
        <item x="52"/>
        <item x="95"/>
        <item x="124"/>
        <item x="81"/>
        <item x="14"/>
        <item x="47"/>
        <item x="18"/>
        <item x="129"/>
        <item x="116"/>
        <item x="80"/>
        <item x="86"/>
        <item x="109"/>
        <item x="136"/>
        <item x="104"/>
        <item x="19"/>
        <item x="29"/>
        <item x="54"/>
        <item x="132"/>
        <item x="117"/>
        <item x="93"/>
        <item x="133"/>
        <item x="98"/>
        <item x="51"/>
        <item x="4"/>
        <item x="24"/>
        <item x="101"/>
        <item x="45"/>
        <item x="99"/>
        <item x="125"/>
        <item x="65"/>
        <item x="118"/>
        <item x="88"/>
        <item x="49"/>
        <item x="57"/>
        <item x="92"/>
        <item x="61"/>
        <item x="70"/>
        <item x="41"/>
        <item x="59"/>
        <item x="66"/>
        <item x="68"/>
        <item x="43"/>
        <item x="102"/>
        <item x="119"/>
        <item x="10"/>
        <item x="38"/>
        <item x="53"/>
        <item x="122"/>
        <item x="67"/>
        <item x="34"/>
        <item x="25"/>
        <item x="134"/>
        <item x="12"/>
        <item x="87"/>
        <item x="1"/>
        <item x="108"/>
        <item x="56"/>
        <item x="17"/>
        <item x="84"/>
        <item x="113"/>
        <item x="13"/>
        <item x="3"/>
        <item x="7"/>
        <item x="60"/>
        <item x="22"/>
        <item x="73"/>
        <item x="115"/>
        <item x="114"/>
        <item x="62"/>
        <item x="35"/>
        <item x="6"/>
        <item x="50"/>
        <item x="126"/>
        <item x="11"/>
        <item x="91"/>
        <item x="37"/>
        <item x="15"/>
        <item x="110"/>
        <item x="106"/>
        <item x="121"/>
        <item x="26"/>
        <item x="36"/>
        <item x="135"/>
        <item x="123"/>
        <item x="111"/>
        <item x="71"/>
        <item x="39"/>
        <item x="9"/>
        <item x="5"/>
        <item x="31"/>
        <item x="46"/>
        <item x="82"/>
        <item x="28"/>
        <item x="94"/>
        <item x="2"/>
        <item x="42"/>
        <item x="23"/>
        <item x="96"/>
        <item x="131"/>
        <item x="128"/>
        <item x="32"/>
        <item x="107"/>
        <item x="30"/>
        <item x="112"/>
        <item x="89"/>
        <item x="103"/>
        <item x="8"/>
        <item x="33"/>
        <item x="90"/>
        <item x="120"/>
        <item x="127"/>
        <item x="130"/>
        <item x="48"/>
        <item x="0"/>
        <item x="105"/>
        <item x="20"/>
        <item x="97"/>
        <item x="77"/>
        <item x="137"/>
        <item t="default"/>
      </items>
    </pivotField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Units Sold" fld="6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BF410A-0B73-41C6-9C46-9AF582AB0AE0}" name="PivotTable2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1">
  <location ref="A3:B20" firstHeaderRow="1" firstDataRow="1" firstDataCol="1"/>
  <pivotFields count="13">
    <pivotField showAll="0"/>
    <pivotField showAll="0">
      <items count="109">
        <item x="78"/>
        <item x="88"/>
        <item x="55"/>
        <item x="58"/>
        <item x="80"/>
        <item x="1"/>
        <item x="11"/>
        <item x="60"/>
        <item x="39"/>
        <item x="66"/>
        <item x="43"/>
        <item x="20"/>
        <item x="91"/>
        <item x="98"/>
        <item x="102"/>
        <item x="92"/>
        <item x="46"/>
        <item x="71"/>
        <item x="4"/>
        <item x="63"/>
        <item x="40"/>
        <item x="82"/>
        <item x="53"/>
        <item x="79"/>
        <item x="65"/>
        <item x="47"/>
        <item x="6"/>
        <item x="32"/>
        <item x="76"/>
        <item x="77"/>
        <item x="15"/>
        <item x="52"/>
        <item x="7"/>
        <item x="105"/>
        <item x="38"/>
        <item x="45"/>
        <item x="36"/>
        <item x="14"/>
        <item x="106"/>
        <item x="90"/>
        <item x="86"/>
        <item x="41"/>
        <item x="0"/>
        <item x="37"/>
        <item x="104"/>
        <item x="85"/>
        <item x="100"/>
        <item x="96"/>
        <item x="74"/>
        <item x="25"/>
        <item x="72"/>
        <item x="64"/>
        <item x="42"/>
        <item x="56"/>
        <item x="95"/>
        <item x="18"/>
        <item x="44"/>
        <item x="94"/>
        <item x="2"/>
        <item x="51"/>
        <item x="19"/>
        <item x="99"/>
        <item x="81"/>
        <item x="12"/>
        <item x="69"/>
        <item x="22"/>
        <item x="9"/>
        <item x="101"/>
        <item x="54"/>
        <item x="103"/>
        <item x="33"/>
        <item x="31"/>
        <item x="67"/>
        <item x="17"/>
        <item x="62"/>
        <item x="5"/>
        <item x="3"/>
        <item x="16"/>
        <item x="30"/>
        <item x="10"/>
        <item x="35"/>
        <item x="61"/>
        <item x="93"/>
        <item x="28"/>
        <item x="59"/>
        <item x="21"/>
        <item x="75"/>
        <item x="89"/>
        <item x="70"/>
        <item x="48"/>
        <item x="24"/>
        <item x="23"/>
        <item x="50"/>
        <item x="57"/>
        <item x="8"/>
        <item x="49"/>
        <item x="84"/>
        <item x="13"/>
        <item x="73"/>
        <item x="68"/>
        <item x="83"/>
        <item x="97"/>
        <item x="87"/>
        <item x="29"/>
        <item x="27"/>
        <item x="34"/>
        <item x="26"/>
        <item x="107"/>
        <item t="default"/>
      </items>
    </pivotField>
    <pivotField showAll="0">
      <items count="6">
        <item x="3"/>
        <item x="1"/>
        <item x="0"/>
        <item x="2"/>
        <item x="4"/>
        <item t="default"/>
      </items>
    </pivotField>
    <pivotField showAll="0"/>
    <pivotField showAll="0"/>
    <pivotField axis="axisRow" showAll="0" sortType="ascending">
      <items count="17">
        <item x="6"/>
        <item x="4"/>
        <item x="12"/>
        <item x="8"/>
        <item x="14"/>
        <item x="0"/>
        <item x="7"/>
        <item x="10"/>
        <item x="3"/>
        <item x="11"/>
        <item x="2"/>
        <item x="1"/>
        <item x="13"/>
        <item x="9"/>
        <item x="5"/>
        <item x="15"/>
        <item t="default"/>
      </items>
    </pivotField>
    <pivotField showAll="0"/>
    <pivotField showAll="0">
      <items count="139">
        <item x="78"/>
        <item x="21"/>
        <item x="79"/>
        <item x="74"/>
        <item x="69"/>
        <item x="40"/>
        <item x="83"/>
        <item x="100"/>
        <item x="58"/>
        <item x="85"/>
        <item x="16"/>
        <item x="75"/>
        <item x="44"/>
        <item x="63"/>
        <item x="64"/>
        <item x="72"/>
        <item x="27"/>
        <item x="76"/>
        <item x="55"/>
        <item x="52"/>
        <item x="95"/>
        <item x="124"/>
        <item x="81"/>
        <item x="14"/>
        <item x="47"/>
        <item x="18"/>
        <item x="129"/>
        <item x="116"/>
        <item x="80"/>
        <item x="86"/>
        <item x="109"/>
        <item x="136"/>
        <item x="104"/>
        <item x="19"/>
        <item x="29"/>
        <item x="54"/>
        <item x="132"/>
        <item x="117"/>
        <item x="93"/>
        <item x="133"/>
        <item x="98"/>
        <item x="51"/>
        <item x="4"/>
        <item x="24"/>
        <item x="101"/>
        <item x="45"/>
        <item x="99"/>
        <item x="125"/>
        <item x="65"/>
        <item x="118"/>
        <item x="88"/>
        <item x="49"/>
        <item x="57"/>
        <item x="92"/>
        <item x="61"/>
        <item x="70"/>
        <item x="41"/>
        <item x="59"/>
        <item x="66"/>
        <item x="68"/>
        <item x="43"/>
        <item x="102"/>
        <item x="119"/>
        <item x="10"/>
        <item x="38"/>
        <item x="53"/>
        <item x="122"/>
        <item x="67"/>
        <item x="34"/>
        <item x="25"/>
        <item x="134"/>
        <item x="12"/>
        <item x="87"/>
        <item x="1"/>
        <item x="108"/>
        <item x="56"/>
        <item x="17"/>
        <item x="84"/>
        <item x="113"/>
        <item x="13"/>
        <item x="3"/>
        <item x="7"/>
        <item x="60"/>
        <item x="22"/>
        <item x="73"/>
        <item x="115"/>
        <item x="114"/>
        <item x="62"/>
        <item x="35"/>
        <item x="6"/>
        <item x="50"/>
        <item x="126"/>
        <item x="11"/>
        <item x="91"/>
        <item x="37"/>
        <item x="15"/>
        <item x="110"/>
        <item x="106"/>
        <item x="121"/>
        <item x="26"/>
        <item x="36"/>
        <item x="135"/>
        <item x="123"/>
        <item x="111"/>
        <item x="71"/>
        <item x="39"/>
        <item x="9"/>
        <item x="5"/>
        <item x="31"/>
        <item x="46"/>
        <item x="82"/>
        <item x="28"/>
        <item x="94"/>
        <item x="2"/>
        <item x="42"/>
        <item x="23"/>
        <item x="96"/>
        <item x="131"/>
        <item x="128"/>
        <item x="32"/>
        <item x="107"/>
        <item x="30"/>
        <item x="112"/>
        <item x="89"/>
        <item x="103"/>
        <item x="8"/>
        <item x="33"/>
        <item x="90"/>
        <item x="120"/>
        <item x="127"/>
        <item x="130"/>
        <item x="48"/>
        <item x="0"/>
        <item x="105"/>
        <item x="20"/>
        <item x="97"/>
        <item x="77"/>
        <item x="137"/>
        <item t="default"/>
      </items>
    </pivotField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total revenue" fld="10" baseField="5" baseItem="0"/>
  </dataFields>
  <chartFormats count="1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972957-FCAF-4303-B4EE-DF1368634DD9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O50:P55" firstHeaderRow="1" firstDataRow="1" firstDataCol="1"/>
  <pivotFields count="13">
    <pivotField showAll="0"/>
    <pivotField showAll="0">
      <items count="109">
        <item x="78"/>
        <item x="88"/>
        <item x="55"/>
        <item x="58"/>
        <item x="80"/>
        <item x="1"/>
        <item x="11"/>
        <item x="60"/>
        <item x="39"/>
        <item x="66"/>
        <item x="43"/>
        <item x="20"/>
        <item x="91"/>
        <item x="98"/>
        <item x="102"/>
        <item x="92"/>
        <item x="46"/>
        <item x="71"/>
        <item x="4"/>
        <item x="63"/>
        <item x="40"/>
        <item x="82"/>
        <item x="53"/>
        <item x="79"/>
        <item x="65"/>
        <item x="47"/>
        <item x="6"/>
        <item x="32"/>
        <item x="76"/>
        <item x="77"/>
        <item x="15"/>
        <item x="52"/>
        <item x="7"/>
        <item x="105"/>
        <item x="38"/>
        <item x="45"/>
        <item x="36"/>
        <item x="14"/>
        <item x="106"/>
        <item x="90"/>
        <item x="86"/>
        <item x="41"/>
        <item x="0"/>
        <item x="37"/>
        <item x="104"/>
        <item x="85"/>
        <item x="100"/>
        <item x="96"/>
        <item x="74"/>
        <item x="25"/>
        <item x="72"/>
        <item x="64"/>
        <item x="42"/>
        <item x="56"/>
        <item x="95"/>
        <item x="18"/>
        <item x="44"/>
        <item x="94"/>
        <item x="2"/>
        <item x="51"/>
        <item x="19"/>
        <item x="99"/>
        <item x="81"/>
        <item x="12"/>
        <item x="69"/>
        <item x="22"/>
        <item x="9"/>
        <item x="101"/>
        <item x="54"/>
        <item x="103"/>
        <item x="33"/>
        <item x="31"/>
        <item x="67"/>
        <item x="17"/>
        <item x="62"/>
        <item x="5"/>
        <item x="3"/>
        <item x="16"/>
        <item x="30"/>
        <item x="10"/>
        <item x="35"/>
        <item x="61"/>
        <item x="93"/>
        <item x="28"/>
        <item x="59"/>
        <item x="21"/>
        <item x="75"/>
        <item x="89"/>
        <item x="70"/>
        <item x="48"/>
        <item x="24"/>
        <item x="23"/>
        <item x="50"/>
        <item x="57"/>
        <item x="8"/>
        <item x="49"/>
        <item x="84"/>
        <item x="13"/>
        <item x="73"/>
        <item x="68"/>
        <item x="83"/>
        <item x="97"/>
        <item x="87"/>
        <item x="29"/>
        <item x="27"/>
        <item x="34"/>
        <item x="26"/>
        <item x="107"/>
        <item t="default"/>
      </items>
    </pivotField>
    <pivotField axis="axisRow" showAll="0">
      <items count="6">
        <item x="3"/>
        <item x="1"/>
        <item x="0"/>
        <item x="2"/>
        <item h="1" x="4"/>
        <item t="default"/>
      </items>
    </pivotField>
    <pivotField showAll="0"/>
    <pivotField showAll="0"/>
    <pivotField showAll="0" sortType="ascending">
      <items count="17">
        <item x="6"/>
        <item x="4"/>
        <item x="12"/>
        <item x="8"/>
        <item x="14"/>
        <item x="0"/>
        <item x="7"/>
        <item x="10"/>
        <item x="3"/>
        <item x="11"/>
        <item x="2"/>
        <item x="1"/>
        <item x="13"/>
        <item x="9"/>
        <item x="5"/>
        <item x="15"/>
        <item t="default"/>
      </items>
    </pivotField>
    <pivotField dataField="1" showAll="0"/>
    <pivotField showAll="0">
      <items count="139">
        <item x="78"/>
        <item x="21"/>
        <item x="79"/>
        <item x="74"/>
        <item x="69"/>
        <item x="40"/>
        <item x="83"/>
        <item x="100"/>
        <item x="58"/>
        <item x="85"/>
        <item x="16"/>
        <item x="75"/>
        <item x="44"/>
        <item x="63"/>
        <item x="64"/>
        <item x="72"/>
        <item x="27"/>
        <item x="76"/>
        <item x="55"/>
        <item x="52"/>
        <item x="95"/>
        <item x="124"/>
        <item x="81"/>
        <item x="14"/>
        <item x="47"/>
        <item x="18"/>
        <item x="129"/>
        <item x="116"/>
        <item x="80"/>
        <item x="86"/>
        <item x="109"/>
        <item x="136"/>
        <item x="104"/>
        <item x="19"/>
        <item x="29"/>
        <item x="54"/>
        <item x="132"/>
        <item x="117"/>
        <item x="93"/>
        <item x="133"/>
        <item x="98"/>
        <item x="51"/>
        <item x="4"/>
        <item x="24"/>
        <item x="101"/>
        <item x="45"/>
        <item x="99"/>
        <item x="125"/>
        <item x="65"/>
        <item x="118"/>
        <item x="88"/>
        <item x="49"/>
        <item x="57"/>
        <item x="92"/>
        <item x="61"/>
        <item x="70"/>
        <item x="41"/>
        <item x="59"/>
        <item x="66"/>
        <item x="68"/>
        <item x="43"/>
        <item x="102"/>
        <item x="119"/>
        <item x="10"/>
        <item x="38"/>
        <item x="53"/>
        <item x="122"/>
        <item x="67"/>
        <item x="34"/>
        <item x="25"/>
        <item x="134"/>
        <item x="12"/>
        <item x="87"/>
        <item x="1"/>
        <item x="108"/>
        <item x="56"/>
        <item x="17"/>
        <item x="84"/>
        <item x="113"/>
        <item x="13"/>
        <item x="3"/>
        <item x="7"/>
        <item x="60"/>
        <item x="22"/>
        <item x="73"/>
        <item x="115"/>
        <item x="114"/>
        <item x="62"/>
        <item x="35"/>
        <item x="6"/>
        <item x="50"/>
        <item x="126"/>
        <item x="11"/>
        <item x="91"/>
        <item x="37"/>
        <item x="15"/>
        <item x="110"/>
        <item x="106"/>
        <item x="121"/>
        <item x="26"/>
        <item x="36"/>
        <item x="135"/>
        <item x="123"/>
        <item x="111"/>
        <item x="71"/>
        <item x="39"/>
        <item x="9"/>
        <item x="5"/>
        <item x="31"/>
        <item x="46"/>
        <item x="82"/>
        <item x="28"/>
        <item x="94"/>
        <item x="2"/>
        <item x="42"/>
        <item x="23"/>
        <item x="96"/>
        <item x="131"/>
        <item x="128"/>
        <item x="32"/>
        <item x="107"/>
        <item x="30"/>
        <item x="112"/>
        <item x="89"/>
        <item x="103"/>
        <item x="8"/>
        <item x="33"/>
        <item x="90"/>
        <item x="120"/>
        <item x="127"/>
        <item x="130"/>
        <item x="48"/>
        <item x="0"/>
        <item x="105"/>
        <item x="20"/>
        <item x="97"/>
        <item x="77"/>
        <item x="137"/>
        <item t="default"/>
      </items>
    </pivotField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Units Sold" fld="6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473FE-D7EC-49AC-8CF1-100D80CC7D9E}">
  <dimension ref="A3:P55"/>
  <sheetViews>
    <sheetView topLeftCell="C43" workbookViewId="0">
      <selection activeCell="O50" sqref="O50"/>
    </sheetView>
  </sheetViews>
  <sheetFormatPr defaultRowHeight="14.4" x14ac:dyDescent="0.3"/>
  <cols>
    <col min="1" max="1" width="12.5546875" bestFit="1" customWidth="1"/>
    <col min="2" max="2" width="13.5546875" bestFit="1" customWidth="1"/>
    <col min="3" max="3" width="16" bestFit="1" customWidth="1"/>
    <col min="6" max="6" width="12.5546875" bestFit="1" customWidth="1"/>
    <col min="7" max="7" width="18.88671875" bestFit="1" customWidth="1"/>
    <col min="12" max="12" width="12.5546875" bestFit="1" customWidth="1"/>
    <col min="13" max="13" width="16" bestFit="1" customWidth="1"/>
    <col min="14" max="14" width="18.88671875" bestFit="1" customWidth="1"/>
    <col min="15" max="15" width="12.5546875" bestFit="1" customWidth="1"/>
    <col min="16" max="16" width="17.44140625" bestFit="1" customWidth="1"/>
    <col min="17" max="17" width="16" bestFit="1" customWidth="1"/>
  </cols>
  <sheetData>
    <row r="3" spans="1:13" x14ac:dyDescent="0.3">
      <c r="A3" s="6" t="s">
        <v>196</v>
      </c>
      <c r="B3" t="s">
        <v>199</v>
      </c>
    </row>
    <row r="4" spans="1:13" x14ac:dyDescent="0.3">
      <c r="A4" s="7" t="s">
        <v>38</v>
      </c>
      <c r="B4">
        <v>421992.75</v>
      </c>
    </row>
    <row r="5" spans="1:13" x14ac:dyDescent="0.3">
      <c r="A5" s="7" t="s">
        <v>31</v>
      </c>
      <c r="B5">
        <v>230579.9</v>
      </c>
    </row>
    <row r="6" spans="1:13" x14ac:dyDescent="0.3">
      <c r="A6" s="7" t="s">
        <v>68</v>
      </c>
      <c r="B6">
        <v>325900.39999999997</v>
      </c>
      <c r="L6" s="6" t="s">
        <v>196</v>
      </c>
      <c r="M6" t="s">
        <v>195</v>
      </c>
    </row>
    <row r="7" spans="1:13" x14ac:dyDescent="0.3">
      <c r="A7" s="7" t="s">
        <v>53</v>
      </c>
      <c r="B7">
        <v>156858.5</v>
      </c>
      <c r="L7" s="7" t="s">
        <v>17</v>
      </c>
      <c r="M7">
        <v>388</v>
      </c>
    </row>
    <row r="8" spans="1:13" x14ac:dyDescent="0.3">
      <c r="A8" s="7" t="s">
        <v>95</v>
      </c>
      <c r="B8">
        <v>240273.84999999998</v>
      </c>
      <c r="L8" s="7" t="s">
        <v>12</v>
      </c>
      <c r="M8">
        <v>307</v>
      </c>
    </row>
    <row r="9" spans="1:13" x14ac:dyDescent="0.3">
      <c r="A9" s="7" t="s">
        <v>14</v>
      </c>
      <c r="B9">
        <v>8606972.5999999996</v>
      </c>
      <c r="L9" s="7" t="s">
        <v>21</v>
      </c>
      <c r="M9">
        <v>197</v>
      </c>
    </row>
    <row r="10" spans="1:13" x14ac:dyDescent="0.3">
      <c r="A10" s="7" t="s">
        <v>45</v>
      </c>
      <c r="B10">
        <v>554257.80000000005</v>
      </c>
      <c r="L10" s="7" t="s">
        <v>36</v>
      </c>
      <c r="M10">
        <v>298</v>
      </c>
    </row>
    <row r="11" spans="1:13" x14ac:dyDescent="0.3">
      <c r="A11" s="7" t="s">
        <v>57</v>
      </c>
      <c r="B11">
        <v>39312.949999999997</v>
      </c>
      <c r="L11" s="7" t="s">
        <v>50</v>
      </c>
      <c r="M11">
        <v>324</v>
      </c>
    </row>
    <row r="12" spans="1:13" x14ac:dyDescent="0.3">
      <c r="A12" s="7" t="s">
        <v>26</v>
      </c>
      <c r="B12">
        <v>955260.20000000007</v>
      </c>
      <c r="L12" s="7" t="s">
        <v>33</v>
      </c>
      <c r="M12">
        <v>254</v>
      </c>
    </row>
    <row r="13" spans="1:13" x14ac:dyDescent="0.3">
      <c r="A13" s="7" t="s">
        <v>63</v>
      </c>
      <c r="B13">
        <v>30006.3</v>
      </c>
      <c r="L13" s="7" t="s">
        <v>29</v>
      </c>
      <c r="M13">
        <v>136</v>
      </c>
    </row>
    <row r="14" spans="1:13" x14ac:dyDescent="0.3">
      <c r="A14" s="7" t="s">
        <v>22</v>
      </c>
      <c r="B14">
        <v>1488645.8</v>
      </c>
      <c r="L14" s="7" t="s">
        <v>198</v>
      </c>
      <c r="M14">
        <v>1904</v>
      </c>
    </row>
    <row r="15" spans="1:13" x14ac:dyDescent="0.3">
      <c r="A15" s="7" t="s">
        <v>18</v>
      </c>
      <c r="B15">
        <v>514898.65</v>
      </c>
    </row>
    <row r="16" spans="1:13" x14ac:dyDescent="0.3">
      <c r="A16" s="7" t="s">
        <v>74</v>
      </c>
      <c r="B16">
        <v>1070299.8999999999</v>
      </c>
    </row>
    <row r="17" spans="1:14" x14ac:dyDescent="0.3">
      <c r="A17" s="7" t="s">
        <v>55</v>
      </c>
      <c r="B17">
        <v>867237.45000000007</v>
      </c>
    </row>
    <row r="18" spans="1:14" x14ac:dyDescent="0.3">
      <c r="A18" s="7" t="s">
        <v>34</v>
      </c>
      <c r="B18">
        <v>919508.10000000009</v>
      </c>
    </row>
    <row r="19" spans="1:14" x14ac:dyDescent="0.3">
      <c r="A19" s="7" t="s">
        <v>197</v>
      </c>
    </row>
    <row r="20" spans="1:14" x14ac:dyDescent="0.3">
      <c r="A20" s="7" t="s">
        <v>198</v>
      </c>
      <c r="B20">
        <v>16422005.15</v>
      </c>
    </row>
    <row r="25" spans="1:14" x14ac:dyDescent="0.3">
      <c r="B25" s="6" t="s">
        <v>196</v>
      </c>
      <c r="C25" t="s">
        <v>195</v>
      </c>
    </row>
    <row r="26" spans="1:14" x14ac:dyDescent="0.3">
      <c r="B26" s="7" t="s">
        <v>38</v>
      </c>
      <c r="C26">
        <v>71</v>
      </c>
    </row>
    <row r="27" spans="1:14" x14ac:dyDescent="0.3">
      <c r="B27" s="7" t="s">
        <v>31</v>
      </c>
      <c r="C27">
        <v>169</v>
      </c>
    </row>
    <row r="28" spans="1:14" x14ac:dyDescent="0.3">
      <c r="B28" s="7" t="s">
        <v>68</v>
      </c>
      <c r="C28">
        <v>84</v>
      </c>
      <c r="M28" s="6" t="s">
        <v>196</v>
      </c>
      <c r="N28" t="s">
        <v>199</v>
      </c>
    </row>
    <row r="29" spans="1:14" x14ac:dyDescent="0.3">
      <c r="B29" s="7" t="s">
        <v>53</v>
      </c>
      <c r="C29">
        <v>137</v>
      </c>
      <c r="M29" s="7" t="s">
        <v>48</v>
      </c>
      <c r="N29">
        <v>3810038.9499999997</v>
      </c>
    </row>
    <row r="30" spans="1:14" x14ac:dyDescent="0.3">
      <c r="B30" s="7" t="s">
        <v>95</v>
      </c>
      <c r="C30">
        <v>107</v>
      </c>
      <c r="M30" s="7" t="s">
        <v>20</v>
      </c>
      <c r="N30">
        <v>3384006.1</v>
      </c>
    </row>
    <row r="31" spans="1:14" x14ac:dyDescent="0.3">
      <c r="B31" s="7" t="s">
        <v>14</v>
      </c>
      <c r="C31">
        <v>173</v>
      </c>
      <c r="M31" s="7" t="s">
        <v>11</v>
      </c>
      <c r="N31">
        <v>5721852.9000000004</v>
      </c>
    </row>
    <row r="32" spans="1:14" x14ac:dyDescent="0.3">
      <c r="B32" s="7" t="s">
        <v>45</v>
      </c>
      <c r="C32">
        <v>191</v>
      </c>
      <c r="M32" s="7" t="s">
        <v>24</v>
      </c>
      <c r="N32">
        <v>3506107.1999999993</v>
      </c>
    </row>
    <row r="33" spans="2:14" x14ac:dyDescent="0.3">
      <c r="B33" s="7" t="s">
        <v>57</v>
      </c>
      <c r="C33">
        <v>175</v>
      </c>
      <c r="M33" s="7" t="s">
        <v>198</v>
      </c>
      <c r="N33">
        <v>16422005.149999999</v>
      </c>
    </row>
    <row r="34" spans="2:14" x14ac:dyDescent="0.3">
      <c r="B34" s="7" t="s">
        <v>26</v>
      </c>
      <c r="C34">
        <v>163</v>
      </c>
    </row>
    <row r="35" spans="2:14" x14ac:dyDescent="0.3">
      <c r="B35" s="7" t="s">
        <v>63</v>
      </c>
      <c r="C35">
        <v>219</v>
      </c>
    </row>
    <row r="36" spans="2:14" x14ac:dyDescent="0.3">
      <c r="B36" s="7" t="s">
        <v>22</v>
      </c>
      <c r="C36">
        <v>71</v>
      </c>
    </row>
    <row r="37" spans="2:14" x14ac:dyDescent="0.3">
      <c r="B37" s="7" t="s">
        <v>18</v>
      </c>
      <c r="C37">
        <v>128</v>
      </c>
    </row>
    <row r="38" spans="2:14" x14ac:dyDescent="0.3">
      <c r="B38" s="7" t="s">
        <v>74</v>
      </c>
      <c r="C38">
        <v>44</v>
      </c>
    </row>
    <row r="39" spans="2:14" x14ac:dyDescent="0.3">
      <c r="B39" s="7" t="s">
        <v>55</v>
      </c>
      <c r="C39">
        <v>117</v>
      </c>
    </row>
    <row r="40" spans="2:14" x14ac:dyDescent="0.3">
      <c r="B40" s="7" t="s">
        <v>34</v>
      </c>
      <c r="C40">
        <v>55</v>
      </c>
    </row>
    <row r="41" spans="2:14" x14ac:dyDescent="0.3">
      <c r="B41" s="7" t="s">
        <v>197</v>
      </c>
    </row>
    <row r="42" spans="2:14" x14ac:dyDescent="0.3">
      <c r="B42" s="7" t="s">
        <v>198</v>
      </c>
      <c r="C42">
        <v>1904</v>
      </c>
    </row>
    <row r="44" spans="2:14" x14ac:dyDescent="0.3">
      <c r="F44" s="6" t="s">
        <v>196</v>
      </c>
      <c r="G44" t="s">
        <v>199</v>
      </c>
    </row>
    <row r="45" spans="2:14" x14ac:dyDescent="0.3">
      <c r="F45" s="7" t="s">
        <v>208</v>
      </c>
    </row>
    <row r="46" spans="2:14" x14ac:dyDescent="0.3">
      <c r="F46" s="7" t="s">
        <v>201</v>
      </c>
      <c r="G46">
        <v>3007410.35</v>
      </c>
    </row>
    <row r="47" spans="2:14" x14ac:dyDescent="0.3">
      <c r="F47" s="7" t="s">
        <v>202</v>
      </c>
      <c r="G47">
        <v>792683.29999999993</v>
      </c>
    </row>
    <row r="48" spans="2:14" x14ac:dyDescent="0.3">
      <c r="F48" s="7" t="s">
        <v>203</v>
      </c>
      <c r="G48">
        <v>1704544.6500000004</v>
      </c>
    </row>
    <row r="49" spans="6:16" x14ac:dyDescent="0.3">
      <c r="F49" s="7" t="s">
        <v>204</v>
      </c>
      <c r="G49">
        <v>4511814.5</v>
      </c>
    </row>
    <row r="50" spans="6:16" x14ac:dyDescent="0.3">
      <c r="F50" s="7" t="s">
        <v>205</v>
      </c>
      <c r="G50">
        <v>1917510.4500000002</v>
      </c>
      <c r="O50" s="6" t="s">
        <v>196</v>
      </c>
      <c r="P50" t="s">
        <v>210</v>
      </c>
    </row>
    <row r="51" spans="6:16" x14ac:dyDescent="0.3">
      <c r="F51" s="7" t="s">
        <v>206</v>
      </c>
      <c r="G51">
        <v>2235773.4</v>
      </c>
      <c r="O51" s="7" t="s">
        <v>48</v>
      </c>
      <c r="P51">
        <v>36</v>
      </c>
    </row>
    <row r="52" spans="6:16" x14ac:dyDescent="0.3">
      <c r="F52" s="7" t="s">
        <v>207</v>
      </c>
      <c r="G52">
        <v>2252268.5</v>
      </c>
      <c r="O52" s="7" t="s">
        <v>20</v>
      </c>
      <c r="P52">
        <v>32</v>
      </c>
    </row>
    <row r="53" spans="6:16" x14ac:dyDescent="0.3">
      <c r="F53" s="7" t="s">
        <v>198</v>
      </c>
      <c r="G53">
        <v>16422005.15</v>
      </c>
      <c r="O53" s="7" t="s">
        <v>11</v>
      </c>
      <c r="P53">
        <v>47</v>
      </c>
    </row>
    <row r="54" spans="6:16" x14ac:dyDescent="0.3">
      <c r="O54" s="7" t="s">
        <v>24</v>
      </c>
      <c r="P54">
        <v>35</v>
      </c>
    </row>
    <row r="55" spans="6:16" x14ac:dyDescent="0.3">
      <c r="O55" s="7" t="s">
        <v>198</v>
      </c>
      <c r="P55">
        <v>150</v>
      </c>
    </row>
  </sheetData>
  <pageMargins left="0.7" right="0.7" top="0.75" bottom="0.75" header="0.3" footer="0.3"/>
  <pageSetup orientation="landscape" r:id="rId7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1"/>
  <sheetViews>
    <sheetView tabSelected="1" workbookViewId="0">
      <pane ySplit="1" topLeftCell="A2" activePane="bottomLeft" state="frozen"/>
      <selection pane="bottomLeft" activeCell="M1" sqref="M1:M1048576"/>
    </sheetView>
  </sheetViews>
  <sheetFormatPr defaultRowHeight="14.4" x14ac:dyDescent="0.3"/>
  <cols>
    <col min="1" max="1" width="11" customWidth="1"/>
    <col min="2" max="2" width="12" customWidth="1"/>
    <col min="3" max="3" width="10" customWidth="1"/>
    <col min="4" max="5" width="16" customWidth="1"/>
    <col min="6" max="6" width="14" customWidth="1"/>
    <col min="7" max="7" width="10" customWidth="1"/>
    <col min="8" max="8" width="15" customWidth="1"/>
    <col min="9" max="9" width="10" customWidth="1"/>
    <col min="10" max="10" width="16" customWidth="1"/>
  </cols>
  <sheetData>
    <row r="1" spans="1:12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 t="s">
        <v>209</v>
      </c>
      <c r="L1" s="5" t="s">
        <v>200</v>
      </c>
    </row>
    <row r="2" spans="1:12" x14ac:dyDescent="0.3">
      <c r="A2" s="2" t="s">
        <v>10</v>
      </c>
      <c r="B2" s="3">
        <v>46105</v>
      </c>
      <c r="C2" s="2" t="s">
        <v>11</v>
      </c>
      <c r="D2" s="2" t="s">
        <v>12</v>
      </c>
      <c r="E2" s="2" t="s">
        <v>13</v>
      </c>
      <c r="F2" s="2" t="s">
        <v>14</v>
      </c>
      <c r="G2" s="4">
        <v>4</v>
      </c>
      <c r="H2" s="4">
        <v>56767</v>
      </c>
      <c r="I2" s="4">
        <v>10</v>
      </c>
      <c r="J2" s="2" t="s">
        <v>15</v>
      </c>
      <c r="K2">
        <f>G2*H2*(1-I2/100)</f>
        <v>204361.2</v>
      </c>
      <c r="L2" t="str">
        <f>TEXT(B2,"mm-yy")</f>
        <v>03-26</v>
      </c>
    </row>
    <row r="3" spans="1:12" x14ac:dyDescent="0.3">
      <c r="A3" s="2" t="s">
        <v>16</v>
      </c>
      <c r="B3" s="3">
        <v>46037</v>
      </c>
      <c r="C3" s="2" t="s">
        <v>11</v>
      </c>
      <c r="D3" s="2" t="s">
        <v>17</v>
      </c>
      <c r="E3" s="2" t="s">
        <v>13</v>
      </c>
      <c r="F3" s="2" t="s">
        <v>18</v>
      </c>
      <c r="G3" s="4">
        <v>8</v>
      </c>
      <c r="H3" s="4">
        <v>4463</v>
      </c>
      <c r="I3" s="4">
        <v>0</v>
      </c>
      <c r="J3" s="2" t="s">
        <v>15</v>
      </c>
      <c r="K3">
        <f t="shared" ref="K3:K66" si="0">G3*H3*(1-I3/100)</f>
        <v>35704</v>
      </c>
      <c r="L3" t="str">
        <f t="shared" ref="L3:L66" si="1">TEXT(B3,"mm-yy")</f>
        <v>01-26</v>
      </c>
    </row>
    <row r="4" spans="1:12" x14ac:dyDescent="0.3">
      <c r="A4" s="2" t="s">
        <v>19</v>
      </c>
      <c r="B4" s="3">
        <v>46131</v>
      </c>
      <c r="C4" s="2" t="s">
        <v>20</v>
      </c>
      <c r="D4" s="2" t="s">
        <v>21</v>
      </c>
      <c r="E4" s="2" t="s">
        <v>13</v>
      </c>
      <c r="F4" s="2" t="s">
        <v>22</v>
      </c>
      <c r="G4" s="4">
        <v>19</v>
      </c>
      <c r="H4" s="4">
        <v>22287</v>
      </c>
      <c r="I4" s="4">
        <v>0</v>
      </c>
      <c r="J4" s="2" t="s">
        <v>15</v>
      </c>
      <c r="K4">
        <f t="shared" si="0"/>
        <v>423453</v>
      </c>
      <c r="L4" t="str">
        <f t="shared" si="1"/>
        <v>04-26</v>
      </c>
    </row>
    <row r="5" spans="1:12" x14ac:dyDescent="0.3">
      <c r="A5" s="2" t="s">
        <v>23</v>
      </c>
      <c r="B5" s="3">
        <v>46172</v>
      </c>
      <c r="C5" s="2" t="s">
        <v>24</v>
      </c>
      <c r="D5" s="2" t="s">
        <v>17</v>
      </c>
      <c r="E5" s="2" t="s">
        <v>25</v>
      </c>
      <c r="F5" s="2" t="s">
        <v>26</v>
      </c>
      <c r="G5" s="4">
        <v>5</v>
      </c>
      <c r="H5" s="4">
        <v>6536</v>
      </c>
      <c r="I5" s="4">
        <v>10</v>
      </c>
      <c r="J5" s="2" t="s">
        <v>27</v>
      </c>
      <c r="K5">
        <f t="shared" si="0"/>
        <v>29412</v>
      </c>
      <c r="L5" t="str">
        <f t="shared" si="1"/>
        <v>05-26</v>
      </c>
    </row>
    <row r="6" spans="1:12" x14ac:dyDescent="0.3">
      <c r="A6" s="2" t="s">
        <v>28</v>
      </c>
      <c r="B6" s="3">
        <v>46059</v>
      </c>
      <c r="C6" s="2" t="s">
        <v>20</v>
      </c>
      <c r="D6" s="2" t="s">
        <v>29</v>
      </c>
      <c r="E6" s="2" t="s">
        <v>30</v>
      </c>
      <c r="F6" s="2" t="s">
        <v>31</v>
      </c>
      <c r="G6" s="4">
        <v>6</v>
      </c>
      <c r="H6" s="4">
        <v>1547</v>
      </c>
      <c r="I6" s="4">
        <v>0</v>
      </c>
      <c r="J6" s="2" t="s">
        <v>15</v>
      </c>
      <c r="K6">
        <f t="shared" si="0"/>
        <v>9282</v>
      </c>
      <c r="L6" t="str">
        <f t="shared" si="1"/>
        <v>02-26</v>
      </c>
    </row>
    <row r="7" spans="1:12" x14ac:dyDescent="0.3">
      <c r="A7" s="2" t="s">
        <v>32</v>
      </c>
      <c r="B7" s="3">
        <v>46169</v>
      </c>
      <c r="C7" s="2" t="s">
        <v>11</v>
      </c>
      <c r="D7" s="2" t="s">
        <v>33</v>
      </c>
      <c r="E7" s="2" t="s">
        <v>13</v>
      </c>
      <c r="F7" s="2" t="s">
        <v>34</v>
      </c>
      <c r="G7" s="4">
        <v>19</v>
      </c>
      <c r="H7" s="4">
        <v>18381</v>
      </c>
      <c r="I7" s="4">
        <v>0</v>
      </c>
      <c r="J7" s="2" t="s">
        <v>15</v>
      </c>
      <c r="K7">
        <f t="shared" si="0"/>
        <v>349239</v>
      </c>
      <c r="L7" t="str">
        <f t="shared" si="1"/>
        <v>05-26</v>
      </c>
    </row>
    <row r="8" spans="1:12" x14ac:dyDescent="0.3">
      <c r="A8" s="2" t="s">
        <v>35</v>
      </c>
      <c r="B8" s="3">
        <v>46075</v>
      </c>
      <c r="C8" s="2" t="s">
        <v>24</v>
      </c>
      <c r="D8" s="2" t="s">
        <v>36</v>
      </c>
      <c r="E8" s="2" t="s">
        <v>37</v>
      </c>
      <c r="F8" s="2" t="s">
        <v>38</v>
      </c>
      <c r="G8" s="4">
        <v>15</v>
      </c>
      <c r="H8" s="4">
        <v>6776</v>
      </c>
      <c r="I8" s="4">
        <v>10</v>
      </c>
      <c r="J8" s="2" t="s">
        <v>39</v>
      </c>
      <c r="K8">
        <f t="shared" si="0"/>
        <v>91476</v>
      </c>
      <c r="L8" t="str">
        <f t="shared" si="1"/>
        <v>02-26</v>
      </c>
    </row>
    <row r="9" spans="1:12" x14ac:dyDescent="0.3">
      <c r="A9" s="2" t="s">
        <v>40</v>
      </c>
      <c r="B9" s="3">
        <v>46086</v>
      </c>
      <c r="C9" s="2" t="s">
        <v>11</v>
      </c>
      <c r="D9" s="2" t="s">
        <v>36</v>
      </c>
      <c r="E9" s="2" t="s">
        <v>25</v>
      </c>
      <c r="F9" s="2" t="s">
        <v>26</v>
      </c>
      <c r="G9" s="4">
        <v>17</v>
      </c>
      <c r="H9" s="4">
        <v>6548</v>
      </c>
      <c r="I9" s="4">
        <v>20</v>
      </c>
      <c r="J9" s="2" t="s">
        <v>39</v>
      </c>
      <c r="K9">
        <f t="shared" si="0"/>
        <v>89052.800000000003</v>
      </c>
      <c r="L9" t="str">
        <f t="shared" si="1"/>
        <v>03-26</v>
      </c>
    </row>
    <row r="10" spans="1:12" x14ac:dyDescent="0.3">
      <c r="A10" s="2" t="s">
        <v>41</v>
      </c>
      <c r="B10" s="3">
        <v>46209</v>
      </c>
      <c r="C10" s="2" t="s">
        <v>24</v>
      </c>
      <c r="D10" s="2" t="s">
        <v>33</v>
      </c>
      <c r="E10" s="2" t="s">
        <v>13</v>
      </c>
      <c r="F10" s="2" t="s">
        <v>14</v>
      </c>
      <c r="G10" s="4">
        <v>6</v>
      </c>
      <c r="H10" s="4">
        <v>55065</v>
      </c>
      <c r="I10" s="4">
        <v>10</v>
      </c>
      <c r="J10" s="2" t="s">
        <v>42</v>
      </c>
      <c r="K10">
        <f t="shared" si="0"/>
        <v>297351</v>
      </c>
      <c r="L10" t="str">
        <f t="shared" si="1"/>
        <v>07-26</v>
      </c>
    </row>
    <row r="11" spans="1:12" x14ac:dyDescent="0.3">
      <c r="A11" s="2" t="s">
        <v>43</v>
      </c>
      <c r="B11" s="3">
        <v>46148</v>
      </c>
      <c r="C11" s="2" t="s">
        <v>24</v>
      </c>
      <c r="D11" s="2" t="s">
        <v>17</v>
      </c>
      <c r="E11" s="2" t="s">
        <v>13</v>
      </c>
      <c r="F11" s="2" t="s">
        <v>34</v>
      </c>
      <c r="G11" s="4">
        <v>11</v>
      </c>
      <c r="H11" s="4">
        <v>18131</v>
      </c>
      <c r="I11" s="4">
        <v>10</v>
      </c>
      <c r="J11" s="2" t="s">
        <v>39</v>
      </c>
      <c r="K11">
        <f t="shared" si="0"/>
        <v>179496.9</v>
      </c>
      <c r="L11" t="str">
        <f t="shared" si="1"/>
        <v>05-26</v>
      </c>
    </row>
    <row r="12" spans="1:12" x14ac:dyDescent="0.3">
      <c r="A12" s="2" t="s">
        <v>44</v>
      </c>
      <c r="B12" s="3">
        <v>46175</v>
      </c>
      <c r="C12" s="2" t="s">
        <v>24</v>
      </c>
      <c r="D12" s="2" t="s">
        <v>29</v>
      </c>
      <c r="E12" s="2" t="s">
        <v>37</v>
      </c>
      <c r="F12" s="2" t="s">
        <v>45</v>
      </c>
      <c r="G12" s="4">
        <v>9</v>
      </c>
      <c r="H12" s="4">
        <v>3308</v>
      </c>
      <c r="I12" s="4">
        <v>20</v>
      </c>
      <c r="J12" s="2" t="s">
        <v>46</v>
      </c>
      <c r="K12">
        <f t="shared" si="0"/>
        <v>23817.600000000002</v>
      </c>
      <c r="L12" t="str">
        <f t="shared" si="1"/>
        <v>06-26</v>
      </c>
    </row>
    <row r="13" spans="1:12" x14ac:dyDescent="0.3">
      <c r="A13" s="2" t="s">
        <v>47</v>
      </c>
      <c r="B13" s="3">
        <v>46038</v>
      </c>
      <c r="C13" s="2" t="s">
        <v>48</v>
      </c>
      <c r="D13" s="2" t="s">
        <v>36</v>
      </c>
      <c r="E13" s="2" t="s">
        <v>37</v>
      </c>
      <c r="F13" s="2" t="s">
        <v>38</v>
      </c>
      <c r="G13" s="4">
        <v>22</v>
      </c>
      <c r="H13" s="4">
        <v>6947</v>
      </c>
      <c r="I13" s="4">
        <v>10</v>
      </c>
      <c r="J13" s="2" t="s">
        <v>46</v>
      </c>
      <c r="K13">
        <f t="shared" si="0"/>
        <v>137550.6</v>
      </c>
      <c r="L13" t="str">
        <f t="shared" si="1"/>
        <v>01-26</v>
      </c>
    </row>
    <row r="14" spans="1:12" x14ac:dyDescent="0.3">
      <c r="A14" s="2" t="s">
        <v>49</v>
      </c>
      <c r="B14" s="3">
        <v>46141</v>
      </c>
      <c r="C14" s="2" t="s">
        <v>48</v>
      </c>
      <c r="D14" s="2" t="s">
        <v>50</v>
      </c>
      <c r="E14" s="2" t="s">
        <v>13</v>
      </c>
      <c r="F14" s="2" t="s">
        <v>18</v>
      </c>
      <c r="G14" s="4">
        <v>25</v>
      </c>
      <c r="H14" s="4">
        <v>4301</v>
      </c>
      <c r="I14" s="4">
        <v>10</v>
      </c>
      <c r="J14" s="2" t="s">
        <v>42</v>
      </c>
      <c r="K14">
        <f t="shared" si="0"/>
        <v>96772.5</v>
      </c>
      <c r="L14" t="str">
        <f t="shared" si="1"/>
        <v>04-26</v>
      </c>
    </row>
    <row r="15" spans="1:12" x14ac:dyDescent="0.3">
      <c r="A15" s="2" t="s">
        <v>51</v>
      </c>
      <c r="B15" s="3">
        <v>46212</v>
      </c>
      <c r="C15" s="2" t="s">
        <v>11</v>
      </c>
      <c r="D15" s="2" t="s">
        <v>12</v>
      </c>
      <c r="E15" s="2" t="s">
        <v>37</v>
      </c>
      <c r="F15" s="2" t="s">
        <v>38</v>
      </c>
      <c r="G15" s="4">
        <v>15</v>
      </c>
      <c r="H15" s="4">
        <v>6514</v>
      </c>
      <c r="I15" s="4">
        <v>15</v>
      </c>
      <c r="J15" s="2" t="s">
        <v>15</v>
      </c>
      <c r="K15">
        <f t="shared" si="0"/>
        <v>83053.5</v>
      </c>
      <c r="L15" t="str">
        <f t="shared" si="1"/>
        <v>07-26</v>
      </c>
    </row>
    <row r="16" spans="1:12" x14ac:dyDescent="0.3">
      <c r="A16" s="2" t="s">
        <v>52</v>
      </c>
      <c r="B16" s="3">
        <v>46094</v>
      </c>
      <c r="C16" s="2" t="s">
        <v>11</v>
      </c>
      <c r="D16" s="2" t="s">
        <v>21</v>
      </c>
      <c r="E16" s="2" t="s">
        <v>37</v>
      </c>
      <c r="F16" s="2" t="s">
        <v>53</v>
      </c>
      <c r="G16" s="4">
        <v>14</v>
      </c>
      <c r="H16" s="4">
        <v>1173</v>
      </c>
      <c r="I16" s="4">
        <v>10</v>
      </c>
      <c r="J16" s="2" t="s">
        <v>27</v>
      </c>
      <c r="K16">
        <f t="shared" si="0"/>
        <v>14779.800000000001</v>
      </c>
      <c r="L16" t="str">
        <f t="shared" si="1"/>
        <v>03-26</v>
      </c>
    </row>
    <row r="17" spans="1:12" x14ac:dyDescent="0.3">
      <c r="A17" s="2" t="s">
        <v>54</v>
      </c>
      <c r="B17" s="3">
        <v>46082</v>
      </c>
      <c r="C17" s="2" t="s">
        <v>11</v>
      </c>
      <c r="D17" s="2" t="s">
        <v>17</v>
      </c>
      <c r="E17" s="2" t="s">
        <v>25</v>
      </c>
      <c r="F17" s="2" t="s">
        <v>55</v>
      </c>
      <c r="G17" s="4">
        <v>8</v>
      </c>
      <c r="H17" s="4">
        <v>7785</v>
      </c>
      <c r="I17" s="4">
        <v>0</v>
      </c>
      <c r="J17" s="2" t="s">
        <v>27</v>
      </c>
      <c r="K17">
        <f t="shared" si="0"/>
        <v>62280</v>
      </c>
      <c r="L17" t="str">
        <f t="shared" si="1"/>
        <v>03-26</v>
      </c>
    </row>
    <row r="18" spans="1:12" x14ac:dyDescent="0.3">
      <c r="A18" s="2" t="s">
        <v>56</v>
      </c>
      <c r="B18" s="3">
        <v>46173</v>
      </c>
      <c r="C18" s="2" t="s">
        <v>11</v>
      </c>
      <c r="D18" s="2" t="s">
        <v>33</v>
      </c>
      <c r="E18" s="2" t="s">
        <v>30</v>
      </c>
      <c r="F18" s="2" t="s">
        <v>57</v>
      </c>
      <c r="G18" s="4">
        <v>18</v>
      </c>
      <c r="H18" s="4">
        <v>241</v>
      </c>
      <c r="I18" s="4">
        <v>10</v>
      </c>
      <c r="J18" s="2" t="s">
        <v>15</v>
      </c>
      <c r="K18">
        <f t="shared" si="0"/>
        <v>3904.2000000000003</v>
      </c>
      <c r="L18" t="str">
        <f t="shared" si="1"/>
        <v>05-26</v>
      </c>
    </row>
    <row r="19" spans="1:12" x14ac:dyDescent="0.3">
      <c r="A19" s="2" t="s">
        <v>58</v>
      </c>
      <c r="B19" s="3">
        <v>46167</v>
      </c>
      <c r="C19" s="2" t="s">
        <v>48</v>
      </c>
      <c r="D19" s="2" t="s">
        <v>50</v>
      </c>
      <c r="E19" s="2" t="s">
        <v>13</v>
      </c>
      <c r="F19" s="2" t="s">
        <v>18</v>
      </c>
      <c r="G19" s="4">
        <v>25</v>
      </c>
      <c r="H19" s="4">
        <v>4679</v>
      </c>
      <c r="I19" s="4">
        <v>15</v>
      </c>
      <c r="J19" s="2" t="s">
        <v>27</v>
      </c>
      <c r="K19">
        <f t="shared" si="0"/>
        <v>99428.75</v>
      </c>
      <c r="L19" t="str">
        <f t="shared" si="1"/>
        <v>05-26</v>
      </c>
    </row>
    <row r="20" spans="1:12" x14ac:dyDescent="0.3">
      <c r="A20" s="2" t="s">
        <v>59</v>
      </c>
      <c r="B20" s="3">
        <v>46125</v>
      </c>
      <c r="C20" s="2" t="s">
        <v>24</v>
      </c>
      <c r="D20" s="2" t="s">
        <v>17</v>
      </c>
      <c r="E20" s="2" t="s">
        <v>37</v>
      </c>
      <c r="F20" s="2" t="s">
        <v>53</v>
      </c>
      <c r="G20" s="4">
        <v>7</v>
      </c>
      <c r="H20" s="4">
        <v>1188</v>
      </c>
      <c r="I20" s="4">
        <v>0</v>
      </c>
      <c r="J20" s="2" t="s">
        <v>42</v>
      </c>
      <c r="K20">
        <f t="shared" si="0"/>
        <v>8316</v>
      </c>
      <c r="L20" t="str">
        <f t="shared" si="1"/>
        <v>04-26</v>
      </c>
    </row>
    <row r="21" spans="1:12" x14ac:dyDescent="0.3">
      <c r="A21" s="2" t="s">
        <v>60</v>
      </c>
      <c r="B21" s="3">
        <v>46135</v>
      </c>
      <c r="C21" s="2" t="s">
        <v>11</v>
      </c>
      <c r="D21" s="2" t="s">
        <v>17</v>
      </c>
      <c r="E21" s="2" t="s">
        <v>30</v>
      </c>
      <c r="F21" s="2" t="s">
        <v>31</v>
      </c>
      <c r="G21" s="4">
        <v>1</v>
      </c>
      <c r="H21" s="4">
        <v>1432</v>
      </c>
      <c r="I21" s="4">
        <v>0</v>
      </c>
      <c r="J21" s="2" t="s">
        <v>15</v>
      </c>
      <c r="K21">
        <f t="shared" si="0"/>
        <v>1432</v>
      </c>
      <c r="L21" t="str">
        <f t="shared" si="1"/>
        <v>04-26</v>
      </c>
    </row>
    <row r="22" spans="1:12" x14ac:dyDescent="0.3">
      <c r="A22" s="2" t="s">
        <v>61</v>
      </c>
      <c r="B22" s="3">
        <v>46048</v>
      </c>
      <c r="C22" s="2" t="s">
        <v>48</v>
      </c>
      <c r="D22" s="2" t="s">
        <v>29</v>
      </c>
      <c r="E22" s="2" t="s">
        <v>13</v>
      </c>
      <c r="F22" s="2" t="s">
        <v>14</v>
      </c>
      <c r="G22" s="4">
        <v>20</v>
      </c>
      <c r="H22" s="4">
        <v>57058</v>
      </c>
      <c r="I22" s="4">
        <v>15</v>
      </c>
      <c r="J22" s="2" t="s">
        <v>42</v>
      </c>
      <c r="K22">
        <f t="shared" si="0"/>
        <v>969986</v>
      </c>
      <c r="L22" t="str">
        <f t="shared" si="1"/>
        <v>01-26</v>
      </c>
    </row>
    <row r="23" spans="1:12" x14ac:dyDescent="0.3">
      <c r="A23" s="2" t="s">
        <v>62</v>
      </c>
      <c r="B23" s="3">
        <v>46185</v>
      </c>
      <c r="C23" s="2" t="s">
        <v>48</v>
      </c>
      <c r="D23" s="2" t="s">
        <v>33</v>
      </c>
      <c r="E23" s="2" t="s">
        <v>30</v>
      </c>
      <c r="F23" s="2" t="s">
        <v>63</v>
      </c>
      <c r="G23" s="4">
        <v>16</v>
      </c>
      <c r="H23" s="4">
        <v>144</v>
      </c>
      <c r="I23" s="4">
        <v>20</v>
      </c>
      <c r="J23" s="2" t="s">
        <v>27</v>
      </c>
      <c r="K23">
        <f t="shared" si="0"/>
        <v>1843.2</v>
      </c>
      <c r="L23" t="str">
        <f t="shared" si="1"/>
        <v>06-26</v>
      </c>
    </row>
    <row r="24" spans="1:12" x14ac:dyDescent="0.3">
      <c r="A24" s="2" t="s">
        <v>64</v>
      </c>
      <c r="B24" s="3">
        <v>46146</v>
      </c>
      <c r="C24" s="2" t="s">
        <v>48</v>
      </c>
      <c r="D24" s="2" t="s">
        <v>17</v>
      </c>
      <c r="E24" s="2" t="s">
        <v>25</v>
      </c>
      <c r="F24" s="2" t="s">
        <v>26</v>
      </c>
      <c r="G24" s="4">
        <v>24</v>
      </c>
      <c r="H24" s="4">
        <v>6662</v>
      </c>
      <c r="I24" s="4">
        <v>10</v>
      </c>
      <c r="J24" s="2" t="s">
        <v>27</v>
      </c>
      <c r="K24">
        <f t="shared" si="0"/>
        <v>143899.20000000001</v>
      </c>
      <c r="L24" t="str">
        <f t="shared" si="1"/>
        <v>05-26</v>
      </c>
    </row>
    <row r="25" spans="1:12" x14ac:dyDescent="0.3">
      <c r="A25" s="2" t="s">
        <v>65</v>
      </c>
      <c r="B25" s="3">
        <v>46200</v>
      </c>
      <c r="C25" s="2" t="s">
        <v>11</v>
      </c>
      <c r="D25" s="2" t="s">
        <v>29</v>
      </c>
      <c r="E25" s="2" t="s">
        <v>13</v>
      </c>
      <c r="F25" s="2" t="s">
        <v>22</v>
      </c>
      <c r="G25" s="4">
        <v>17</v>
      </c>
      <c r="H25" s="4">
        <v>22992</v>
      </c>
      <c r="I25" s="4">
        <v>10</v>
      </c>
      <c r="J25" s="2" t="s">
        <v>42</v>
      </c>
      <c r="K25">
        <f t="shared" si="0"/>
        <v>351777.60000000003</v>
      </c>
      <c r="L25" t="str">
        <f t="shared" si="1"/>
        <v>06-26</v>
      </c>
    </row>
    <row r="26" spans="1:12" x14ac:dyDescent="0.3">
      <c r="A26" s="2" t="s">
        <v>66</v>
      </c>
      <c r="B26" s="3">
        <v>46199</v>
      </c>
      <c r="C26" s="2" t="s">
        <v>20</v>
      </c>
      <c r="D26" s="2" t="s">
        <v>21</v>
      </c>
      <c r="E26" s="2" t="s">
        <v>30</v>
      </c>
      <c r="F26" s="2" t="s">
        <v>31</v>
      </c>
      <c r="G26" s="4">
        <v>23</v>
      </c>
      <c r="H26" s="4">
        <v>1554</v>
      </c>
      <c r="I26" s="4">
        <v>10</v>
      </c>
      <c r="J26" s="2" t="s">
        <v>15</v>
      </c>
      <c r="K26">
        <f t="shared" si="0"/>
        <v>32167.8</v>
      </c>
      <c r="L26" t="str">
        <f t="shared" si="1"/>
        <v>06-26</v>
      </c>
    </row>
    <row r="27" spans="1:12" x14ac:dyDescent="0.3">
      <c r="A27" s="2" t="s">
        <v>67</v>
      </c>
      <c r="B27" s="3">
        <v>46116</v>
      </c>
      <c r="C27" s="2" t="s">
        <v>11</v>
      </c>
      <c r="D27" s="2" t="s">
        <v>33</v>
      </c>
      <c r="E27" s="2" t="s">
        <v>25</v>
      </c>
      <c r="F27" s="2" t="s">
        <v>68</v>
      </c>
      <c r="G27" s="4">
        <v>20</v>
      </c>
      <c r="H27" s="4">
        <v>4257</v>
      </c>
      <c r="I27" s="4">
        <v>5</v>
      </c>
      <c r="J27" s="2" t="s">
        <v>42</v>
      </c>
      <c r="K27">
        <f t="shared" si="0"/>
        <v>80883</v>
      </c>
      <c r="L27" t="str">
        <f t="shared" si="1"/>
        <v>04-26</v>
      </c>
    </row>
    <row r="28" spans="1:12" x14ac:dyDescent="0.3">
      <c r="A28" s="2" t="s">
        <v>69</v>
      </c>
      <c r="B28" s="3">
        <v>46232</v>
      </c>
      <c r="C28" s="2" t="s">
        <v>24</v>
      </c>
      <c r="D28" s="2" t="s">
        <v>36</v>
      </c>
      <c r="E28" s="2" t="s">
        <v>25</v>
      </c>
      <c r="F28" s="2" t="s">
        <v>55</v>
      </c>
      <c r="G28" s="4">
        <v>12</v>
      </c>
      <c r="H28" s="4">
        <v>8014</v>
      </c>
      <c r="I28" s="4">
        <v>0</v>
      </c>
      <c r="J28" s="2" t="s">
        <v>46</v>
      </c>
      <c r="K28">
        <f t="shared" si="0"/>
        <v>96168</v>
      </c>
      <c r="L28" t="str">
        <f t="shared" si="1"/>
        <v>07-26</v>
      </c>
    </row>
    <row r="29" spans="1:12" x14ac:dyDescent="0.3">
      <c r="A29" s="2" t="s">
        <v>70</v>
      </c>
      <c r="B29" s="3">
        <v>46225</v>
      </c>
      <c r="C29" s="2" t="s">
        <v>48</v>
      </c>
      <c r="D29" s="2" t="s">
        <v>12</v>
      </c>
      <c r="E29" s="2" t="s">
        <v>30</v>
      </c>
      <c r="F29" s="2" t="s">
        <v>57</v>
      </c>
      <c r="G29" s="4">
        <v>12</v>
      </c>
      <c r="H29" s="4">
        <v>254</v>
      </c>
      <c r="I29" s="4">
        <v>20</v>
      </c>
      <c r="J29" s="2" t="s">
        <v>39</v>
      </c>
      <c r="K29">
        <f t="shared" si="0"/>
        <v>2438.4</v>
      </c>
      <c r="L29" t="str">
        <f t="shared" si="1"/>
        <v>07-26</v>
      </c>
    </row>
    <row r="30" spans="1:12" x14ac:dyDescent="0.3">
      <c r="A30" s="2" t="s">
        <v>71</v>
      </c>
      <c r="B30" s="3">
        <v>46116</v>
      </c>
      <c r="C30" s="2" t="s">
        <v>20</v>
      </c>
      <c r="D30" s="2" t="s">
        <v>50</v>
      </c>
      <c r="E30" s="2" t="s">
        <v>13</v>
      </c>
      <c r="F30" s="2" t="s">
        <v>22</v>
      </c>
      <c r="G30" s="4">
        <v>11</v>
      </c>
      <c r="H30" s="4">
        <v>21934</v>
      </c>
      <c r="I30" s="4">
        <v>5</v>
      </c>
      <c r="J30" s="2" t="s">
        <v>27</v>
      </c>
      <c r="K30">
        <f t="shared" si="0"/>
        <v>229210.3</v>
      </c>
      <c r="L30" t="str">
        <f t="shared" si="1"/>
        <v>04-26</v>
      </c>
    </row>
    <row r="31" spans="1:12" x14ac:dyDescent="0.3">
      <c r="A31" s="2" t="s">
        <v>72</v>
      </c>
      <c r="B31" s="3">
        <v>46182</v>
      </c>
      <c r="C31" s="2" t="s">
        <v>20</v>
      </c>
      <c r="D31" s="2" t="s">
        <v>12</v>
      </c>
      <c r="E31" s="2" t="s">
        <v>30</v>
      </c>
      <c r="F31" s="2" t="s">
        <v>31</v>
      </c>
      <c r="G31" s="4">
        <v>22</v>
      </c>
      <c r="H31" s="4">
        <v>1437</v>
      </c>
      <c r="I31" s="4">
        <v>0</v>
      </c>
      <c r="J31" s="2" t="s">
        <v>27</v>
      </c>
      <c r="K31">
        <f t="shared" si="0"/>
        <v>31614</v>
      </c>
      <c r="L31" t="str">
        <f t="shared" si="1"/>
        <v>06-26</v>
      </c>
    </row>
    <row r="32" spans="1:12" x14ac:dyDescent="0.3">
      <c r="A32" s="2" t="s">
        <v>73</v>
      </c>
      <c r="B32" s="3">
        <v>46223</v>
      </c>
      <c r="C32" s="2" t="s">
        <v>11</v>
      </c>
      <c r="D32" s="2" t="s">
        <v>12</v>
      </c>
      <c r="E32" s="2" t="s">
        <v>25</v>
      </c>
      <c r="F32" s="2" t="s">
        <v>74</v>
      </c>
      <c r="G32" s="4">
        <v>11</v>
      </c>
      <c r="H32" s="4">
        <v>25722</v>
      </c>
      <c r="I32" s="4">
        <v>0</v>
      </c>
      <c r="J32" s="2" t="s">
        <v>27</v>
      </c>
      <c r="K32">
        <f t="shared" si="0"/>
        <v>282942</v>
      </c>
      <c r="L32" t="str">
        <f t="shared" si="1"/>
        <v>07-26</v>
      </c>
    </row>
    <row r="33" spans="1:12" x14ac:dyDescent="0.3">
      <c r="A33" s="2" t="s">
        <v>75</v>
      </c>
      <c r="B33" s="3">
        <v>46141</v>
      </c>
      <c r="C33" s="2" t="s">
        <v>24</v>
      </c>
      <c r="D33" s="2" t="s">
        <v>36</v>
      </c>
      <c r="E33" s="2" t="s">
        <v>13</v>
      </c>
      <c r="F33" s="2" t="s">
        <v>22</v>
      </c>
      <c r="G33" s="4">
        <v>5</v>
      </c>
      <c r="H33" s="4">
        <v>21274</v>
      </c>
      <c r="I33" s="4">
        <v>0</v>
      </c>
      <c r="J33" s="2" t="s">
        <v>42</v>
      </c>
      <c r="K33">
        <f t="shared" si="0"/>
        <v>106370</v>
      </c>
      <c r="L33" t="str">
        <f t="shared" si="1"/>
        <v>04-26</v>
      </c>
    </row>
    <row r="34" spans="1:12" x14ac:dyDescent="0.3">
      <c r="A34" s="2" t="s">
        <v>76</v>
      </c>
      <c r="B34" s="3">
        <v>46174</v>
      </c>
      <c r="C34" s="2" t="s">
        <v>24</v>
      </c>
      <c r="D34" s="2" t="s">
        <v>21</v>
      </c>
      <c r="E34" s="2" t="s">
        <v>25</v>
      </c>
      <c r="F34" s="2" t="s">
        <v>74</v>
      </c>
      <c r="G34" s="4">
        <v>12</v>
      </c>
      <c r="H34" s="4">
        <v>25393</v>
      </c>
      <c r="I34" s="4">
        <v>0</v>
      </c>
      <c r="J34" s="2" t="s">
        <v>15</v>
      </c>
      <c r="K34">
        <f t="shared" si="0"/>
        <v>304716</v>
      </c>
      <c r="L34" t="str">
        <f t="shared" si="1"/>
        <v>06-26</v>
      </c>
    </row>
    <row r="35" spans="1:12" x14ac:dyDescent="0.3">
      <c r="A35" s="2" t="s">
        <v>77</v>
      </c>
      <c r="B35" s="3">
        <v>46163</v>
      </c>
      <c r="C35" s="2" t="s">
        <v>11</v>
      </c>
      <c r="D35" s="2" t="s">
        <v>17</v>
      </c>
      <c r="E35" s="2" t="s">
        <v>13</v>
      </c>
      <c r="F35" s="2" t="s">
        <v>14</v>
      </c>
      <c r="G35" s="4">
        <v>5</v>
      </c>
      <c r="H35" s="4">
        <v>55146</v>
      </c>
      <c r="I35" s="4">
        <v>15</v>
      </c>
      <c r="J35" s="2" t="s">
        <v>42</v>
      </c>
      <c r="K35">
        <f t="shared" si="0"/>
        <v>234370.5</v>
      </c>
      <c r="L35" t="str">
        <f t="shared" si="1"/>
        <v>05-26</v>
      </c>
    </row>
    <row r="36" spans="1:12" x14ac:dyDescent="0.3">
      <c r="A36" s="2" t="s">
        <v>78</v>
      </c>
      <c r="B36" s="3">
        <v>46077</v>
      </c>
      <c r="C36" s="2" t="s">
        <v>20</v>
      </c>
      <c r="D36" s="2" t="s">
        <v>33</v>
      </c>
      <c r="E36" s="2" t="s">
        <v>25</v>
      </c>
      <c r="F36" s="2" t="s">
        <v>68</v>
      </c>
      <c r="G36" s="4">
        <v>25</v>
      </c>
      <c r="H36" s="4">
        <v>4200</v>
      </c>
      <c r="I36" s="4">
        <v>10</v>
      </c>
      <c r="J36" s="2" t="s">
        <v>39</v>
      </c>
      <c r="K36">
        <f t="shared" si="0"/>
        <v>94500</v>
      </c>
      <c r="L36" t="str">
        <f t="shared" si="1"/>
        <v>02-26</v>
      </c>
    </row>
    <row r="37" spans="1:12" x14ac:dyDescent="0.3">
      <c r="A37" s="2" t="s">
        <v>79</v>
      </c>
      <c r="B37" s="3">
        <v>46162</v>
      </c>
      <c r="C37" s="2" t="s">
        <v>24</v>
      </c>
      <c r="D37" s="2" t="s">
        <v>21</v>
      </c>
      <c r="E37" s="2" t="s">
        <v>25</v>
      </c>
      <c r="F37" s="2" t="s">
        <v>26</v>
      </c>
      <c r="G37" s="4">
        <v>12</v>
      </c>
      <c r="H37" s="4">
        <v>6766</v>
      </c>
      <c r="I37" s="4">
        <v>20</v>
      </c>
      <c r="J37" s="2" t="s">
        <v>15</v>
      </c>
      <c r="K37">
        <f t="shared" si="0"/>
        <v>64953.600000000006</v>
      </c>
      <c r="L37" t="str">
        <f t="shared" si="1"/>
        <v>05-26</v>
      </c>
    </row>
    <row r="38" spans="1:12" x14ac:dyDescent="0.3">
      <c r="A38" s="2" t="s">
        <v>80</v>
      </c>
      <c r="B38" s="3">
        <v>46231</v>
      </c>
      <c r="C38" s="2" t="s">
        <v>24</v>
      </c>
      <c r="D38" s="2" t="s">
        <v>21</v>
      </c>
      <c r="E38" s="2" t="s">
        <v>25</v>
      </c>
      <c r="F38" s="2" t="s">
        <v>55</v>
      </c>
      <c r="G38" s="4">
        <v>1</v>
      </c>
      <c r="H38" s="4">
        <v>8018</v>
      </c>
      <c r="I38" s="4">
        <v>20</v>
      </c>
      <c r="J38" s="2" t="s">
        <v>42</v>
      </c>
      <c r="K38">
        <f t="shared" si="0"/>
        <v>6414.4000000000005</v>
      </c>
      <c r="L38" t="str">
        <f t="shared" si="1"/>
        <v>07-26</v>
      </c>
    </row>
    <row r="39" spans="1:12" x14ac:dyDescent="0.3">
      <c r="A39" s="2" t="s">
        <v>81</v>
      </c>
      <c r="B39" s="3">
        <v>46178</v>
      </c>
      <c r="C39" s="2" t="s">
        <v>20</v>
      </c>
      <c r="D39" s="2" t="s">
        <v>21</v>
      </c>
      <c r="E39" s="2" t="s">
        <v>25</v>
      </c>
      <c r="F39" s="2" t="s">
        <v>55</v>
      </c>
      <c r="G39" s="4">
        <v>20</v>
      </c>
      <c r="H39" s="4">
        <v>7713</v>
      </c>
      <c r="I39" s="4">
        <v>0</v>
      </c>
      <c r="J39" s="2" t="s">
        <v>15</v>
      </c>
      <c r="K39">
        <f t="shared" si="0"/>
        <v>154260</v>
      </c>
      <c r="L39" t="str">
        <f t="shared" si="1"/>
        <v>06-26</v>
      </c>
    </row>
    <row r="40" spans="1:12" x14ac:dyDescent="0.3">
      <c r="A40" s="2" t="s">
        <v>82</v>
      </c>
      <c r="B40" s="3">
        <v>46038</v>
      </c>
      <c r="C40" s="2" t="s">
        <v>48</v>
      </c>
      <c r="D40" s="2" t="s">
        <v>36</v>
      </c>
      <c r="E40" s="2" t="s">
        <v>37</v>
      </c>
      <c r="F40" s="2" t="s">
        <v>45</v>
      </c>
      <c r="G40" s="4">
        <v>2</v>
      </c>
      <c r="H40" s="4">
        <v>3322</v>
      </c>
      <c r="I40" s="4">
        <v>5</v>
      </c>
      <c r="J40" s="2" t="s">
        <v>42</v>
      </c>
      <c r="K40">
        <f t="shared" si="0"/>
        <v>6311.7999999999993</v>
      </c>
      <c r="L40" t="str">
        <f t="shared" si="1"/>
        <v>01-26</v>
      </c>
    </row>
    <row r="41" spans="1:12" x14ac:dyDescent="0.3">
      <c r="A41" s="2" t="s">
        <v>83</v>
      </c>
      <c r="B41" s="3">
        <v>46093</v>
      </c>
      <c r="C41" s="2" t="s">
        <v>20</v>
      </c>
      <c r="D41" s="2" t="s">
        <v>21</v>
      </c>
      <c r="E41" s="2" t="s">
        <v>13</v>
      </c>
      <c r="F41" s="2" t="s">
        <v>34</v>
      </c>
      <c r="G41" s="4">
        <v>1</v>
      </c>
      <c r="H41" s="4">
        <v>17913</v>
      </c>
      <c r="I41" s="4">
        <v>0</v>
      </c>
      <c r="J41" s="2" t="s">
        <v>27</v>
      </c>
      <c r="K41">
        <f t="shared" si="0"/>
        <v>17913</v>
      </c>
      <c r="L41" t="str">
        <f t="shared" si="1"/>
        <v>03-26</v>
      </c>
    </row>
    <row r="42" spans="1:12" x14ac:dyDescent="0.3">
      <c r="A42" s="2" t="s">
        <v>84</v>
      </c>
      <c r="B42" s="3">
        <v>46106</v>
      </c>
      <c r="C42" s="2" t="s">
        <v>11</v>
      </c>
      <c r="D42" s="2" t="s">
        <v>36</v>
      </c>
      <c r="E42" s="2" t="s">
        <v>30</v>
      </c>
      <c r="F42" s="2" t="s">
        <v>63</v>
      </c>
      <c r="G42" s="4">
        <v>16</v>
      </c>
      <c r="H42" s="4">
        <v>150</v>
      </c>
      <c r="I42" s="4">
        <v>5</v>
      </c>
      <c r="J42" s="2" t="s">
        <v>15</v>
      </c>
      <c r="K42">
        <f t="shared" si="0"/>
        <v>2280</v>
      </c>
      <c r="L42" t="str">
        <f t="shared" si="1"/>
        <v>03-26</v>
      </c>
    </row>
    <row r="43" spans="1:12" x14ac:dyDescent="0.3">
      <c r="A43" s="2" t="s">
        <v>85</v>
      </c>
      <c r="B43" s="3">
        <v>46089</v>
      </c>
      <c r="C43" s="2" t="s">
        <v>11</v>
      </c>
      <c r="D43" s="2" t="s">
        <v>21</v>
      </c>
      <c r="E43" s="2" t="s">
        <v>37</v>
      </c>
      <c r="F43" s="2" t="s">
        <v>45</v>
      </c>
      <c r="G43" s="4">
        <v>13</v>
      </c>
      <c r="H43" s="4">
        <v>3173</v>
      </c>
      <c r="I43" s="4">
        <v>20</v>
      </c>
      <c r="J43" s="2" t="s">
        <v>39</v>
      </c>
      <c r="K43">
        <f t="shared" si="0"/>
        <v>32999.200000000004</v>
      </c>
      <c r="L43" t="str">
        <f t="shared" si="1"/>
        <v>03-26</v>
      </c>
    </row>
    <row r="44" spans="1:12" x14ac:dyDescent="0.3">
      <c r="A44" s="2" t="s">
        <v>86</v>
      </c>
      <c r="B44" s="3">
        <v>46041</v>
      </c>
      <c r="C44" s="2" t="s">
        <v>11</v>
      </c>
      <c r="D44" s="2" t="s">
        <v>12</v>
      </c>
      <c r="E44" s="2" t="s">
        <v>13</v>
      </c>
      <c r="F44" s="2" t="s">
        <v>22</v>
      </c>
      <c r="G44" s="4">
        <v>4</v>
      </c>
      <c r="H44" s="4">
        <v>22372</v>
      </c>
      <c r="I44" s="4">
        <v>0</v>
      </c>
      <c r="J44" s="2" t="s">
        <v>39</v>
      </c>
      <c r="K44">
        <f t="shared" si="0"/>
        <v>89488</v>
      </c>
      <c r="L44" t="str">
        <f t="shared" si="1"/>
        <v>01-26</v>
      </c>
    </row>
    <row r="45" spans="1:12" x14ac:dyDescent="0.3">
      <c r="A45" s="2" t="s">
        <v>87</v>
      </c>
      <c r="B45" s="3">
        <v>46059</v>
      </c>
      <c r="C45" s="2" t="s">
        <v>48</v>
      </c>
      <c r="D45" s="2" t="s">
        <v>50</v>
      </c>
      <c r="E45" s="2" t="s">
        <v>37</v>
      </c>
      <c r="F45" s="2" t="s">
        <v>45</v>
      </c>
      <c r="G45" s="4">
        <v>4</v>
      </c>
      <c r="H45" s="4">
        <v>3278</v>
      </c>
      <c r="I45" s="4">
        <v>15</v>
      </c>
      <c r="J45" s="2" t="s">
        <v>27</v>
      </c>
      <c r="K45">
        <f t="shared" si="0"/>
        <v>11145.199999999999</v>
      </c>
      <c r="L45" t="str">
        <f t="shared" si="1"/>
        <v>02-26</v>
      </c>
    </row>
    <row r="46" spans="1:12" x14ac:dyDescent="0.3">
      <c r="A46" s="2" t="s">
        <v>88</v>
      </c>
      <c r="B46" s="3">
        <v>46064</v>
      </c>
      <c r="C46" s="2" t="s">
        <v>11</v>
      </c>
      <c r="D46" s="2" t="s">
        <v>50</v>
      </c>
      <c r="E46" s="2" t="s">
        <v>37</v>
      </c>
      <c r="F46" s="2" t="s">
        <v>53</v>
      </c>
      <c r="G46" s="4">
        <v>14</v>
      </c>
      <c r="H46" s="4">
        <v>1188</v>
      </c>
      <c r="I46" s="4">
        <v>5</v>
      </c>
      <c r="J46" s="2" t="s">
        <v>39</v>
      </c>
      <c r="K46">
        <f t="shared" si="0"/>
        <v>15800.4</v>
      </c>
      <c r="L46" t="str">
        <f t="shared" si="1"/>
        <v>02-26</v>
      </c>
    </row>
    <row r="47" spans="1:12" x14ac:dyDescent="0.3">
      <c r="A47" s="2" t="s">
        <v>89</v>
      </c>
      <c r="B47" s="3">
        <v>46104</v>
      </c>
      <c r="C47" s="2" t="s">
        <v>20</v>
      </c>
      <c r="D47" s="2" t="s">
        <v>36</v>
      </c>
      <c r="E47" s="2" t="s">
        <v>30</v>
      </c>
      <c r="F47" s="2" t="s">
        <v>57</v>
      </c>
      <c r="G47" s="4">
        <v>15</v>
      </c>
      <c r="H47" s="4">
        <v>245</v>
      </c>
      <c r="I47" s="4">
        <v>20</v>
      </c>
      <c r="J47" s="2" t="s">
        <v>46</v>
      </c>
      <c r="K47">
        <f t="shared" si="0"/>
        <v>2940</v>
      </c>
      <c r="L47" t="str">
        <f t="shared" si="1"/>
        <v>03-26</v>
      </c>
    </row>
    <row r="48" spans="1:12" x14ac:dyDescent="0.3">
      <c r="A48" s="2" t="s">
        <v>90</v>
      </c>
      <c r="B48" s="3">
        <v>46121</v>
      </c>
      <c r="C48" s="2" t="s">
        <v>48</v>
      </c>
      <c r="D48" s="2" t="s">
        <v>29</v>
      </c>
      <c r="E48" s="2" t="s">
        <v>30</v>
      </c>
      <c r="F48" s="2" t="s">
        <v>31</v>
      </c>
      <c r="G48" s="4">
        <v>4</v>
      </c>
      <c r="H48" s="4">
        <v>1569</v>
      </c>
      <c r="I48" s="4">
        <v>5</v>
      </c>
      <c r="J48" s="2" t="s">
        <v>46</v>
      </c>
      <c r="K48">
        <f t="shared" si="0"/>
        <v>5962.2</v>
      </c>
      <c r="L48" t="str">
        <f t="shared" si="1"/>
        <v>04-26</v>
      </c>
    </row>
    <row r="49" spans="1:12" x14ac:dyDescent="0.3">
      <c r="A49" s="2" t="s">
        <v>91</v>
      </c>
      <c r="B49" s="3">
        <v>46044</v>
      </c>
      <c r="C49" s="2" t="s">
        <v>48</v>
      </c>
      <c r="D49" s="2" t="s">
        <v>33</v>
      </c>
      <c r="E49" s="2" t="s">
        <v>13</v>
      </c>
      <c r="F49" s="2" t="s">
        <v>22</v>
      </c>
      <c r="G49" s="4">
        <v>5</v>
      </c>
      <c r="H49" s="4">
        <v>21494</v>
      </c>
      <c r="I49" s="4">
        <v>15</v>
      </c>
      <c r="J49" s="2" t="s">
        <v>39</v>
      </c>
      <c r="K49">
        <f t="shared" si="0"/>
        <v>91349.5</v>
      </c>
      <c r="L49" t="str">
        <f t="shared" si="1"/>
        <v>01-26</v>
      </c>
    </row>
    <row r="50" spans="1:12" x14ac:dyDescent="0.3">
      <c r="A50" s="2" t="s">
        <v>92</v>
      </c>
      <c r="B50" s="3">
        <v>46126</v>
      </c>
      <c r="C50" s="2" t="s">
        <v>11</v>
      </c>
      <c r="D50" s="2" t="s">
        <v>29</v>
      </c>
      <c r="E50" s="2" t="s">
        <v>37</v>
      </c>
      <c r="F50" s="2" t="s">
        <v>53</v>
      </c>
      <c r="G50" s="4">
        <v>9</v>
      </c>
      <c r="H50" s="4">
        <v>1179</v>
      </c>
      <c r="I50" s="4">
        <v>0</v>
      </c>
      <c r="J50" s="2" t="s">
        <v>42</v>
      </c>
      <c r="K50">
        <f t="shared" si="0"/>
        <v>10611</v>
      </c>
      <c r="L50" t="str">
        <f t="shared" si="1"/>
        <v>04-26</v>
      </c>
    </row>
    <row r="51" spans="1:12" x14ac:dyDescent="0.3">
      <c r="A51" s="2" t="s">
        <v>93</v>
      </c>
      <c r="B51" s="3">
        <v>46131</v>
      </c>
      <c r="C51" s="2" t="s">
        <v>20</v>
      </c>
      <c r="D51" s="2" t="s">
        <v>33</v>
      </c>
      <c r="E51" s="2" t="s">
        <v>13</v>
      </c>
      <c r="F51" s="2" t="s">
        <v>14</v>
      </c>
      <c r="G51" s="4">
        <v>3</v>
      </c>
      <c r="H51" s="4">
        <v>56658</v>
      </c>
      <c r="I51" s="4">
        <v>5</v>
      </c>
      <c r="J51" s="2" t="s">
        <v>46</v>
      </c>
      <c r="K51">
        <f t="shared" si="0"/>
        <v>161475.29999999999</v>
      </c>
      <c r="L51" t="str">
        <f t="shared" si="1"/>
        <v>04-26</v>
      </c>
    </row>
    <row r="52" spans="1:12" x14ac:dyDescent="0.3">
      <c r="A52" s="2" t="s">
        <v>94</v>
      </c>
      <c r="B52" s="3">
        <v>46090</v>
      </c>
      <c r="C52" s="2" t="s">
        <v>20</v>
      </c>
      <c r="D52" s="2" t="s">
        <v>12</v>
      </c>
      <c r="E52" s="2" t="s">
        <v>13</v>
      </c>
      <c r="F52" s="2" t="s">
        <v>95</v>
      </c>
      <c r="G52" s="4">
        <v>14</v>
      </c>
      <c r="H52" s="4">
        <v>2623</v>
      </c>
      <c r="I52" s="4">
        <v>10</v>
      </c>
      <c r="J52" s="2" t="s">
        <v>15</v>
      </c>
      <c r="K52">
        <f t="shared" si="0"/>
        <v>33049.800000000003</v>
      </c>
      <c r="L52" t="str">
        <f t="shared" si="1"/>
        <v>03-26</v>
      </c>
    </row>
    <row r="53" spans="1:12" x14ac:dyDescent="0.3">
      <c r="A53" s="2" t="s">
        <v>96</v>
      </c>
      <c r="B53" s="3">
        <v>46056</v>
      </c>
      <c r="C53" s="2" t="s">
        <v>20</v>
      </c>
      <c r="D53" s="2" t="s">
        <v>29</v>
      </c>
      <c r="E53" s="2" t="s">
        <v>25</v>
      </c>
      <c r="F53" s="2" t="s">
        <v>26</v>
      </c>
      <c r="G53" s="4">
        <v>9</v>
      </c>
      <c r="H53" s="4">
        <v>6804</v>
      </c>
      <c r="I53" s="4">
        <v>0</v>
      </c>
      <c r="J53" s="2" t="s">
        <v>42</v>
      </c>
      <c r="K53">
        <f t="shared" si="0"/>
        <v>61236</v>
      </c>
      <c r="L53" t="str">
        <f t="shared" si="1"/>
        <v>02-26</v>
      </c>
    </row>
    <row r="54" spans="1:12" x14ac:dyDescent="0.3">
      <c r="A54" s="2" t="s">
        <v>97</v>
      </c>
      <c r="B54" s="3">
        <v>46074</v>
      </c>
      <c r="C54" s="2" t="s">
        <v>48</v>
      </c>
      <c r="D54" s="2" t="s">
        <v>36</v>
      </c>
      <c r="E54" s="2" t="s">
        <v>30</v>
      </c>
      <c r="F54" s="2" t="s">
        <v>31</v>
      </c>
      <c r="G54" s="4">
        <v>10</v>
      </c>
      <c r="H54" s="4">
        <v>1538</v>
      </c>
      <c r="I54" s="4">
        <v>20</v>
      </c>
      <c r="J54" s="2" t="s">
        <v>15</v>
      </c>
      <c r="K54">
        <f t="shared" si="0"/>
        <v>12304</v>
      </c>
      <c r="L54" t="str">
        <f t="shared" si="1"/>
        <v>02-26</v>
      </c>
    </row>
    <row r="55" spans="1:12" x14ac:dyDescent="0.3">
      <c r="A55" s="2" t="s">
        <v>98</v>
      </c>
      <c r="B55" s="3">
        <v>46195</v>
      </c>
      <c r="C55" s="2" t="s">
        <v>11</v>
      </c>
      <c r="D55" s="2" t="s">
        <v>33</v>
      </c>
      <c r="E55" s="2" t="s">
        <v>30</v>
      </c>
      <c r="F55" s="2" t="s">
        <v>57</v>
      </c>
      <c r="G55" s="4">
        <v>2</v>
      </c>
      <c r="H55" s="4">
        <v>262</v>
      </c>
      <c r="I55" s="4">
        <v>0</v>
      </c>
      <c r="J55" s="2" t="s">
        <v>46</v>
      </c>
      <c r="K55">
        <f t="shared" si="0"/>
        <v>524</v>
      </c>
      <c r="L55" t="str">
        <f t="shared" si="1"/>
        <v>06-26</v>
      </c>
    </row>
    <row r="56" spans="1:12" x14ac:dyDescent="0.3">
      <c r="A56" s="2" t="s">
        <v>99</v>
      </c>
      <c r="B56" s="3">
        <v>46210</v>
      </c>
      <c r="C56" s="2" t="s">
        <v>11</v>
      </c>
      <c r="D56" s="2" t="s">
        <v>29</v>
      </c>
      <c r="E56" s="2" t="s">
        <v>37</v>
      </c>
      <c r="F56" s="2" t="s">
        <v>45</v>
      </c>
      <c r="G56" s="4">
        <v>4</v>
      </c>
      <c r="H56" s="4">
        <v>3339</v>
      </c>
      <c r="I56" s="4">
        <v>15</v>
      </c>
      <c r="J56" s="2" t="s">
        <v>27</v>
      </c>
      <c r="K56">
        <f t="shared" si="0"/>
        <v>11352.6</v>
      </c>
      <c r="L56" t="str">
        <f t="shared" si="1"/>
        <v>07-26</v>
      </c>
    </row>
    <row r="57" spans="1:12" x14ac:dyDescent="0.3">
      <c r="A57" s="2" t="s">
        <v>100</v>
      </c>
      <c r="B57" s="3">
        <v>46162</v>
      </c>
      <c r="C57" s="2" t="s">
        <v>24</v>
      </c>
      <c r="D57" s="2" t="s">
        <v>29</v>
      </c>
      <c r="E57" s="2" t="s">
        <v>30</v>
      </c>
      <c r="F57" s="2" t="s">
        <v>31</v>
      </c>
      <c r="G57" s="4">
        <v>8</v>
      </c>
      <c r="H57" s="4">
        <v>1457</v>
      </c>
      <c r="I57" s="4">
        <v>10</v>
      </c>
      <c r="J57" s="2" t="s">
        <v>42</v>
      </c>
      <c r="K57">
        <f t="shared" si="0"/>
        <v>10490.4</v>
      </c>
      <c r="L57" t="str">
        <f t="shared" si="1"/>
        <v>05-26</v>
      </c>
    </row>
    <row r="58" spans="1:12" x14ac:dyDescent="0.3">
      <c r="A58" s="2" t="s">
        <v>101</v>
      </c>
      <c r="B58" s="3">
        <v>46203</v>
      </c>
      <c r="C58" s="2" t="s">
        <v>11</v>
      </c>
      <c r="D58" s="2" t="s">
        <v>12</v>
      </c>
      <c r="E58" s="2" t="s">
        <v>30</v>
      </c>
      <c r="F58" s="2" t="s">
        <v>57</v>
      </c>
      <c r="G58" s="4">
        <v>1</v>
      </c>
      <c r="H58" s="4">
        <v>258</v>
      </c>
      <c r="I58" s="4">
        <v>0</v>
      </c>
      <c r="J58" s="2" t="s">
        <v>39</v>
      </c>
      <c r="K58">
        <f t="shared" si="0"/>
        <v>258</v>
      </c>
      <c r="L58" t="str">
        <f t="shared" si="1"/>
        <v>06-26</v>
      </c>
    </row>
    <row r="59" spans="1:12" x14ac:dyDescent="0.3">
      <c r="A59" s="2" t="s">
        <v>102</v>
      </c>
      <c r="B59" s="3">
        <v>46133</v>
      </c>
      <c r="C59" s="2" t="s">
        <v>11</v>
      </c>
      <c r="D59" s="2" t="s">
        <v>17</v>
      </c>
      <c r="E59" s="2" t="s">
        <v>13</v>
      </c>
      <c r="F59" s="2" t="s">
        <v>18</v>
      </c>
      <c r="G59" s="4">
        <v>22</v>
      </c>
      <c r="H59" s="4">
        <v>4666</v>
      </c>
      <c r="I59" s="4">
        <v>10</v>
      </c>
      <c r="J59" s="2" t="s">
        <v>15</v>
      </c>
      <c r="K59">
        <f t="shared" si="0"/>
        <v>92386.8</v>
      </c>
      <c r="L59" t="str">
        <f t="shared" si="1"/>
        <v>04-26</v>
      </c>
    </row>
    <row r="60" spans="1:12" x14ac:dyDescent="0.3">
      <c r="A60" s="2" t="s">
        <v>103</v>
      </c>
      <c r="B60" s="3">
        <v>46085</v>
      </c>
      <c r="C60" s="2" t="s">
        <v>48</v>
      </c>
      <c r="D60" s="2" t="s">
        <v>17</v>
      </c>
      <c r="E60" s="2" t="s">
        <v>37</v>
      </c>
      <c r="F60" s="2" t="s">
        <v>45</v>
      </c>
      <c r="G60" s="4">
        <v>15</v>
      </c>
      <c r="H60" s="4">
        <v>3090</v>
      </c>
      <c r="I60" s="4">
        <v>0</v>
      </c>
      <c r="J60" s="2" t="s">
        <v>39</v>
      </c>
      <c r="K60">
        <f t="shared" si="0"/>
        <v>46350</v>
      </c>
      <c r="L60" t="str">
        <f t="shared" si="1"/>
        <v>03-26</v>
      </c>
    </row>
    <row r="61" spans="1:12" x14ac:dyDescent="0.3">
      <c r="A61" s="2" t="s">
        <v>104</v>
      </c>
      <c r="B61" s="3">
        <v>46116</v>
      </c>
      <c r="C61" s="2" t="s">
        <v>48</v>
      </c>
      <c r="D61" s="2" t="s">
        <v>29</v>
      </c>
      <c r="E61" s="2" t="s">
        <v>30</v>
      </c>
      <c r="F61" s="2" t="s">
        <v>57</v>
      </c>
      <c r="G61" s="4">
        <v>10</v>
      </c>
      <c r="H61" s="4">
        <v>238</v>
      </c>
      <c r="I61" s="4">
        <v>5</v>
      </c>
      <c r="J61" s="2" t="s">
        <v>39</v>
      </c>
      <c r="K61">
        <f t="shared" si="0"/>
        <v>2261</v>
      </c>
      <c r="L61" t="str">
        <f t="shared" si="1"/>
        <v>04-26</v>
      </c>
    </row>
    <row r="62" spans="1:12" x14ac:dyDescent="0.3">
      <c r="A62" s="2" t="s">
        <v>105</v>
      </c>
      <c r="B62" s="3">
        <v>46069</v>
      </c>
      <c r="C62" s="2" t="s">
        <v>20</v>
      </c>
      <c r="D62" s="2" t="s">
        <v>33</v>
      </c>
      <c r="E62" s="2" t="s">
        <v>37</v>
      </c>
      <c r="F62" s="2" t="s">
        <v>45</v>
      </c>
      <c r="G62" s="4">
        <v>17</v>
      </c>
      <c r="H62" s="4">
        <v>3191</v>
      </c>
      <c r="I62" s="4">
        <v>5</v>
      </c>
      <c r="J62" s="2" t="s">
        <v>42</v>
      </c>
      <c r="K62">
        <f t="shared" si="0"/>
        <v>51534.649999999994</v>
      </c>
      <c r="L62" t="str">
        <f t="shared" si="1"/>
        <v>02-26</v>
      </c>
    </row>
    <row r="63" spans="1:12" x14ac:dyDescent="0.3">
      <c r="A63" s="2" t="s">
        <v>106</v>
      </c>
      <c r="B63" s="3">
        <v>46152</v>
      </c>
      <c r="C63" s="2" t="s">
        <v>20</v>
      </c>
      <c r="D63" s="2" t="s">
        <v>17</v>
      </c>
      <c r="E63" s="2" t="s">
        <v>30</v>
      </c>
      <c r="F63" s="2" t="s">
        <v>57</v>
      </c>
      <c r="G63" s="4">
        <v>19</v>
      </c>
      <c r="H63" s="4">
        <v>241</v>
      </c>
      <c r="I63" s="4">
        <v>0</v>
      </c>
      <c r="J63" s="2" t="s">
        <v>27</v>
      </c>
      <c r="K63">
        <f t="shared" si="0"/>
        <v>4579</v>
      </c>
      <c r="L63" t="str">
        <f t="shared" si="1"/>
        <v>05-26</v>
      </c>
    </row>
    <row r="64" spans="1:12" x14ac:dyDescent="0.3">
      <c r="A64" s="2" t="s">
        <v>107</v>
      </c>
      <c r="B64" s="3">
        <v>46028</v>
      </c>
      <c r="C64" s="2" t="s">
        <v>48</v>
      </c>
      <c r="D64" s="2" t="s">
        <v>33</v>
      </c>
      <c r="E64" s="2" t="s">
        <v>25</v>
      </c>
      <c r="F64" s="2" t="s">
        <v>26</v>
      </c>
      <c r="G64" s="4">
        <v>17</v>
      </c>
      <c r="H64" s="4">
        <v>6555</v>
      </c>
      <c r="I64" s="4">
        <v>0</v>
      </c>
      <c r="J64" s="2" t="s">
        <v>15</v>
      </c>
      <c r="K64">
        <f t="shared" si="0"/>
        <v>111435</v>
      </c>
      <c r="L64" t="str">
        <f t="shared" si="1"/>
        <v>01-26</v>
      </c>
    </row>
    <row r="65" spans="1:12" x14ac:dyDescent="0.3">
      <c r="A65" s="2" t="s">
        <v>108</v>
      </c>
      <c r="B65" s="3">
        <v>46122</v>
      </c>
      <c r="C65" s="2" t="s">
        <v>48</v>
      </c>
      <c r="D65" s="2" t="s">
        <v>36</v>
      </c>
      <c r="E65" s="2" t="s">
        <v>37</v>
      </c>
      <c r="F65" s="2" t="s">
        <v>45</v>
      </c>
      <c r="G65" s="4">
        <v>20</v>
      </c>
      <c r="H65" s="4">
        <v>3130</v>
      </c>
      <c r="I65" s="4">
        <v>0</v>
      </c>
      <c r="J65" s="2" t="s">
        <v>46</v>
      </c>
      <c r="K65">
        <f t="shared" si="0"/>
        <v>62600</v>
      </c>
      <c r="L65" t="str">
        <f t="shared" si="1"/>
        <v>04-26</v>
      </c>
    </row>
    <row r="66" spans="1:12" x14ac:dyDescent="0.3">
      <c r="A66" s="2" t="s">
        <v>109</v>
      </c>
      <c r="B66" s="3">
        <v>46206</v>
      </c>
      <c r="C66" s="2" t="s">
        <v>24</v>
      </c>
      <c r="D66" s="2" t="s">
        <v>36</v>
      </c>
      <c r="E66" s="2" t="s">
        <v>25</v>
      </c>
      <c r="F66" s="2" t="s">
        <v>26</v>
      </c>
      <c r="G66" s="4">
        <v>19</v>
      </c>
      <c r="H66" s="4">
        <v>6712</v>
      </c>
      <c r="I66" s="4">
        <v>5</v>
      </c>
      <c r="J66" s="2" t="s">
        <v>46</v>
      </c>
      <c r="K66">
        <f t="shared" si="0"/>
        <v>121151.59999999999</v>
      </c>
      <c r="L66" t="str">
        <f t="shared" si="1"/>
        <v>07-26</v>
      </c>
    </row>
    <row r="67" spans="1:12" x14ac:dyDescent="0.3">
      <c r="A67" s="2" t="s">
        <v>110</v>
      </c>
      <c r="B67" s="3">
        <v>46030</v>
      </c>
      <c r="C67" s="2" t="s">
        <v>20</v>
      </c>
      <c r="D67" s="2" t="s">
        <v>50</v>
      </c>
      <c r="E67" s="2" t="s">
        <v>30</v>
      </c>
      <c r="F67" s="2" t="s">
        <v>57</v>
      </c>
      <c r="G67" s="4">
        <v>15</v>
      </c>
      <c r="H67" s="4">
        <v>246</v>
      </c>
      <c r="I67" s="4">
        <v>0</v>
      </c>
      <c r="J67" s="2" t="s">
        <v>46</v>
      </c>
      <c r="K67">
        <f t="shared" ref="K67:K130" si="2">G67*H67*(1-I67/100)</f>
        <v>3690</v>
      </c>
      <c r="L67" t="str">
        <f t="shared" ref="L67:L130" si="3">TEXT(B67,"mm-yy")</f>
        <v>01-26</v>
      </c>
    </row>
    <row r="68" spans="1:12" x14ac:dyDescent="0.3">
      <c r="A68" s="2" t="s">
        <v>111</v>
      </c>
      <c r="B68" s="3">
        <v>46183</v>
      </c>
      <c r="C68" s="2" t="s">
        <v>11</v>
      </c>
      <c r="D68" s="2" t="s">
        <v>12</v>
      </c>
      <c r="E68" s="2" t="s">
        <v>30</v>
      </c>
      <c r="F68" s="2" t="s">
        <v>57</v>
      </c>
      <c r="G68" s="4">
        <v>3</v>
      </c>
      <c r="H68" s="4">
        <v>248</v>
      </c>
      <c r="I68" s="4">
        <v>0</v>
      </c>
      <c r="J68" s="2" t="s">
        <v>15</v>
      </c>
      <c r="K68">
        <f t="shared" si="2"/>
        <v>744</v>
      </c>
      <c r="L68" t="str">
        <f t="shared" si="3"/>
        <v>06-26</v>
      </c>
    </row>
    <row r="69" spans="1:12" x14ac:dyDescent="0.3">
      <c r="A69" s="2" t="s">
        <v>112</v>
      </c>
      <c r="B69" s="3">
        <v>46039</v>
      </c>
      <c r="C69" s="2" t="s">
        <v>24</v>
      </c>
      <c r="D69" s="2" t="s">
        <v>33</v>
      </c>
      <c r="E69" s="2" t="s">
        <v>13</v>
      </c>
      <c r="F69" s="2" t="s">
        <v>95</v>
      </c>
      <c r="G69" s="4">
        <v>25</v>
      </c>
      <c r="H69" s="4">
        <v>2433</v>
      </c>
      <c r="I69" s="4">
        <v>5</v>
      </c>
      <c r="J69" s="2" t="s">
        <v>42</v>
      </c>
      <c r="K69">
        <f t="shared" si="2"/>
        <v>57783.75</v>
      </c>
      <c r="L69" t="str">
        <f t="shared" si="3"/>
        <v>01-26</v>
      </c>
    </row>
    <row r="70" spans="1:12" x14ac:dyDescent="0.3">
      <c r="A70" s="2" t="s">
        <v>113</v>
      </c>
      <c r="B70" s="3">
        <v>46212</v>
      </c>
      <c r="C70" s="2" t="s">
        <v>24</v>
      </c>
      <c r="D70" s="2" t="s">
        <v>12</v>
      </c>
      <c r="E70" s="2" t="s">
        <v>37</v>
      </c>
      <c r="F70" s="2" t="s">
        <v>45</v>
      </c>
      <c r="G70" s="4">
        <v>22</v>
      </c>
      <c r="H70" s="4">
        <v>3193</v>
      </c>
      <c r="I70" s="4">
        <v>10</v>
      </c>
      <c r="J70" s="2" t="s">
        <v>46</v>
      </c>
      <c r="K70">
        <f t="shared" si="2"/>
        <v>63221.4</v>
      </c>
      <c r="L70" t="str">
        <f t="shared" si="3"/>
        <v>07-26</v>
      </c>
    </row>
    <row r="71" spans="1:12" x14ac:dyDescent="0.3">
      <c r="A71" s="2" t="s">
        <v>114</v>
      </c>
      <c r="B71" s="3">
        <v>46180</v>
      </c>
      <c r="C71" s="2" t="s">
        <v>11</v>
      </c>
      <c r="D71" s="2" t="s">
        <v>17</v>
      </c>
      <c r="E71" s="2" t="s">
        <v>25</v>
      </c>
      <c r="F71" s="2" t="s">
        <v>68</v>
      </c>
      <c r="G71" s="4">
        <v>24</v>
      </c>
      <c r="H71" s="4">
        <v>4096</v>
      </c>
      <c r="I71" s="4">
        <v>10</v>
      </c>
      <c r="J71" s="2" t="s">
        <v>15</v>
      </c>
      <c r="K71">
        <f t="shared" si="2"/>
        <v>88473.600000000006</v>
      </c>
      <c r="L71" t="str">
        <f t="shared" si="3"/>
        <v>06-26</v>
      </c>
    </row>
    <row r="72" spans="1:12" x14ac:dyDescent="0.3">
      <c r="A72" s="2" t="s">
        <v>115</v>
      </c>
      <c r="B72" s="3">
        <v>46168</v>
      </c>
      <c r="C72" s="2" t="s">
        <v>11</v>
      </c>
      <c r="D72" s="2" t="s">
        <v>17</v>
      </c>
      <c r="E72" s="2" t="s">
        <v>37</v>
      </c>
      <c r="F72" s="2" t="s">
        <v>45</v>
      </c>
      <c r="G72" s="4">
        <v>22</v>
      </c>
      <c r="H72" s="4">
        <v>3195</v>
      </c>
      <c r="I72" s="4">
        <v>0</v>
      </c>
      <c r="J72" s="2" t="s">
        <v>42</v>
      </c>
      <c r="K72">
        <f t="shared" si="2"/>
        <v>70290</v>
      </c>
      <c r="L72" t="str">
        <f t="shared" si="3"/>
        <v>05-26</v>
      </c>
    </row>
    <row r="73" spans="1:12" x14ac:dyDescent="0.3">
      <c r="A73" s="2" t="s">
        <v>116</v>
      </c>
      <c r="B73" s="3">
        <v>46195</v>
      </c>
      <c r="C73" s="2" t="s">
        <v>24</v>
      </c>
      <c r="D73" s="2" t="s">
        <v>33</v>
      </c>
      <c r="E73" s="2" t="s">
        <v>30</v>
      </c>
      <c r="F73" s="2" t="s">
        <v>63</v>
      </c>
      <c r="G73" s="4">
        <v>25</v>
      </c>
      <c r="H73" s="4">
        <v>149</v>
      </c>
      <c r="I73" s="4">
        <v>0</v>
      </c>
      <c r="J73" s="2" t="s">
        <v>15</v>
      </c>
      <c r="K73">
        <f t="shared" si="2"/>
        <v>3725</v>
      </c>
      <c r="L73" t="str">
        <f t="shared" si="3"/>
        <v>06-26</v>
      </c>
    </row>
    <row r="74" spans="1:12" x14ac:dyDescent="0.3">
      <c r="A74" s="2" t="s">
        <v>117</v>
      </c>
      <c r="B74" s="3">
        <v>46074</v>
      </c>
      <c r="C74" s="2" t="s">
        <v>48</v>
      </c>
      <c r="D74" s="2" t="s">
        <v>17</v>
      </c>
      <c r="E74" s="2" t="s">
        <v>37</v>
      </c>
      <c r="F74" s="2" t="s">
        <v>45</v>
      </c>
      <c r="G74" s="4">
        <v>3</v>
      </c>
      <c r="H74" s="4">
        <v>3132</v>
      </c>
      <c r="I74" s="4">
        <v>20</v>
      </c>
      <c r="J74" s="2" t="s">
        <v>39</v>
      </c>
      <c r="K74">
        <f t="shared" si="2"/>
        <v>7516.8</v>
      </c>
      <c r="L74" t="str">
        <f t="shared" si="3"/>
        <v>02-26</v>
      </c>
    </row>
    <row r="75" spans="1:12" x14ac:dyDescent="0.3">
      <c r="A75" s="2" t="s">
        <v>118</v>
      </c>
      <c r="B75" s="3">
        <v>46122</v>
      </c>
      <c r="C75" s="2" t="s">
        <v>11</v>
      </c>
      <c r="D75" s="2" t="s">
        <v>50</v>
      </c>
      <c r="E75" s="2" t="s">
        <v>13</v>
      </c>
      <c r="F75" s="2" t="s">
        <v>34</v>
      </c>
      <c r="G75" s="4">
        <v>24</v>
      </c>
      <c r="H75" s="4">
        <v>17262</v>
      </c>
      <c r="I75" s="4">
        <v>10</v>
      </c>
      <c r="J75" s="2" t="s">
        <v>39</v>
      </c>
      <c r="K75">
        <f t="shared" si="2"/>
        <v>372859.2</v>
      </c>
      <c r="L75" t="str">
        <f t="shared" si="3"/>
        <v>04-26</v>
      </c>
    </row>
    <row r="76" spans="1:12" x14ac:dyDescent="0.3">
      <c r="A76" s="2" t="s">
        <v>119</v>
      </c>
      <c r="B76" s="3">
        <v>46056</v>
      </c>
      <c r="C76" s="2" t="s">
        <v>48</v>
      </c>
      <c r="D76" s="2" t="s">
        <v>17</v>
      </c>
      <c r="E76" s="2" t="s">
        <v>30</v>
      </c>
      <c r="F76" s="2" t="s">
        <v>57</v>
      </c>
      <c r="G76" s="4">
        <v>16</v>
      </c>
      <c r="H76" s="4">
        <v>249</v>
      </c>
      <c r="I76" s="4">
        <v>15</v>
      </c>
      <c r="J76" s="2" t="s">
        <v>46</v>
      </c>
      <c r="K76">
        <f t="shared" si="2"/>
        <v>3386.4</v>
      </c>
      <c r="L76" t="str">
        <f t="shared" si="3"/>
        <v>02-26</v>
      </c>
    </row>
    <row r="77" spans="1:12" x14ac:dyDescent="0.3">
      <c r="A77" s="2" t="s">
        <v>120</v>
      </c>
      <c r="B77" s="3">
        <v>46063</v>
      </c>
      <c r="C77" s="2" t="s">
        <v>20</v>
      </c>
      <c r="D77" s="2" t="s">
        <v>12</v>
      </c>
      <c r="E77" s="2" t="s">
        <v>37</v>
      </c>
      <c r="F77" s="2" t="s">
        <v>38</v>
      </c>
      <c r="G77" s="4">
        <v>5</v>
      </c>
      <c r="H77" s="4">
        <v>6665</v>
      </c>
      <c r="I77" s="4">
        <v>15</v>
      </c>
      <c r="J77" s="2" t="s">
        <v>39</v>
      </c>
      <c r="K77">
        <f t="shared" si="2"/>
        <v>28326.25</v>
      </c>
      <c r="L77" t="str">
        <f t="shared" si="3"/>
        <v>02-26</v>
      </c>
    </row>
    <row r="78" spans="1:12" x14ac:dyDescent="0.3">
      <c r="A78" s="2" t="s">
        <v>121</v>
      </c>
      <c r="B78" s="3">
        <v>46119</v>
      </c>
      <c r="C78" s="2" t="s">
        <v>48</v>
      </c>
      <c r="D78" s="2" t="s">
        <v>17</v>
      </c>
      <c r="E78" s="2" t="s">
        <v>30</v>
      </c>
      <c r="F78" s="2" t="s">
        <v>57</v>
      </c>
      <c r="G78" s="4">
        <v>11</v>
      </c>
      <c r="H78" s="4">
        <v>245</v>
      </c>
      <c r="I78" s="4">
        <v>15</v>
      </c>
      <c r="J78" s="2" t="s">
        <v>46</v>
      </c>
      <c r="K78">
        <f t="shared" si="2"/>
        <v>2290.75</v>
      </c>
      <c r="L78" t="str">
        <f t="shared" si="3"/>
        <v>04-26</v>
      </c>
    </row>
    <row r="79" spans="1:12" x14ac:dyDescent="0.3">
      <c r="A79" s="2" t="s">
        <v>122</v>
      </c>
      <c r="B79" s="3">
        <v>46073</v>
      </c>
      <c r="C79" s="2" t="s">
        <v>20</v>
      </c>
      <c r="D79" s="2" t="s">
        <v>36</v>
      </c>
      <c r="E79" s="2" t="s">
        <v>30</v>
      </c>
      <c r="F79" s="2" t="s">
        <v>63</v>
      </c>
      <c r="G79" s="4">
        <v>13</v>
      </c>
      <c r="H79" s="4">
        <v>148</v>
      </c>
      <c r="I79" s="4">
        <v>15</v>
      </c>
      <c r="J79" s="2" t="s">
        <v>15</v>
      </c>
      <c r="K79">
        <f t="shared" si="2"/>
        <v>1635.3999999999999</v>
      </c>
      <c r="L79" t="str">
        <f t="shared" si="3"/>
        <v>02-26</v>
      </c>
    </row>
    <row r="80" spans="1:12" x14ac:dyDescent="0.3">
      <c r="A80" s="2" t="s">
        <v>123</v>
      </c>
      <c r="B80" s="3">
        <v>46042</v>
      </c>
      <c r="C80" s="2" t="s">
        <v>48</v>
      </c>
      <c r="D80" s="2" t="s">
        <v>12</v>
      </c>
      <c r="E80" s="2" t="s">
        <v>30</v>
      </c>
      <c r="F80" s="2" t="s">
        <v>57</v>
      </c>
      <c r="G80" s="4">
        <v>2</v>
      </c>
      <c r="H80" s="4">
        <v>244</v>
      </c>
      <c r="I80" s="4">
        <v>10</v>
      </c>
      <c r="J80" s="2" t="s">
        <v>42</v>
      </c>
      <c r="K80">
        <f t="shared" si="2"/>
        <v>439.2</v>
      </c>
      <c r="L80" t="str">
        <f t="shared" si="3"/>
        <v>01-26</v>
      </c>
    </row>
    <row r="81" spans="1:12" x14ac:dyDescent="0.3">
      <c r="A81" s="2" t="s">
        <v>124</v>
      </c>
      <c r="B81" s="3">
        <v>46086</v>
      </c>
      <c r="C81" s="2" t="s">
        <v>48</v>
      </c>
      <c r="D81" s="2" t="s">
        <v>12</v>
      </c>
      <c r="E81" s="2" t="s">
        <v>30</v>
      </c>
      <c r="F81" s="2" t="s">
        <v>57</v>
      </c>
      <c r="G81" s="4">
        <v>14</v>
      </c>
      <c r="H81" s="4">
        <v>256</v>
      </c>
      <c r="I81" s="4">
        <v>0</v>
      </c>
      <c r="J81" s="2" t="s">
        <v>27</v>
      </c>
      <c r="K81">
        <f t="shared" si="2"/>
        <v>3584</v>
      </c>
      <c r="L81" t="str">
        <f t="shared" si="3"/>
        <v>03-26</v>
      </c>
    </row>
    <row r="82" spans="1:12" x14ac:dyDescent="0.3">
      <c r="A82" s="2" t="s">
        <v>125</v>
      </c>
      <c r="B82" s="3">
        <v>46164</v>
      </c>
      <c r="C82" s="2" t="s">
        <v>11</v>
      </c>
      <c r="D82" s="2" t="s">
        <v>36</v>
      </c>
      <c r="E82" s="2" t="s">
        <v>13</v>
      </c>
      <c r="F82" s="2" t="s">
        <v>14</v>
      </c>
      <c r="G82" s="4">
        <v>14</v>
      </c>
      <c r="H82" s="4">
        <v>57384</v>
      </c>
      <c r="I82" s="4">
        <v>20</v>
      </c>
      <c r="J82" s="2" t="s">
        <v>15</v>
      </c>
      <c r="K82">
        <f t="shared" si="2"/>
        <v>642700.80000000005</v>
      </c>
      <c r="L82" t="str">
        <f t="shared" si="3"/>
        <v>05-26</v>
      </c>
    </row>
    <row r="83" spans="1:12" x14ac:dyDescent="0.3">
      <c r="A83" s="2" t="s">
        <v>126</v>
      </c>
      <c r="B83" s="3">
        <v>46215</v>
      </c>
      <c r="C83" s="2" t="s">
        <v>11</v>
      </c>
      <c r="D83" s="2" t="s">
        <v>36</v>
      </c>
      <c r="E83" s="2" t="s">
        <v>30</v>
      </c>
      <c r="F83" s="2" t="s">
        <v>63</v>
      </c>
      <c r="G83" s="4">
        <v>18</v>
      </c>
      <c r="H83" s="4">
        <v>143</v>
      </c>
      <c r="I83" s="4">
        <v>0</v>
      </c>
      <c r="J83" s="2" t="s">
        <v>42</v>
      </c>
      <c r="K83">
        <f t="shared" si="2"/>
        <v>2574</v>
      </c>
      <c r="L83" t="str">
        <f t="shared" si="3"/>
        <v>07-26</v>
      </c>
    </row>
    <row r="84" spans="1:12" x14ac:dyDescent="0.3">
      <c r="A84" s="2" t="s">
        <v>127</v>
      </c>
      <c r="B84" s="3">
        <v>46143</v>
      </c>
      <c r="C84" s="2" t="s">
        <v>24</v>
      </c>
      <c r="D84" s="2" t="s">
        <v>33</v>
      </c>
      <c r="E84" s="2" t="s">
        <v>30</v>
      </c>
      <c r="F84" s="2" t="s">
        <v>63</v>
      </c>
      <c r="G84" s="4">
        <v>24</v>
      </c>
      <c r="H84" s="4">
        <v>146</v>
      </c>
      <c r="I84" s="4">
        <v>10</v>
      </c>
      <c r="J84" s="2" t="s">
        <v>27</v>
      </c>
      <c r="K84">
        <f t="shared" si="2"/>
        <v>3153.6</v>
      </c>
      <c r="L84" t="str">
        <f t="shared" si="3"/>
        <v>05-26</v>
      </c>
    </row>
    <row r="85" spans="1:12" x14ac:dyDescent="0.3">
      <c r="A85" s="2" t="s">
        <v>128</v>
      </c>
      <c r="B85" s="3">
        <v>46190</v>
      </c>
      <c r="C85" s="2" t="s">
        <v>11</v>
      </c>
      <c r="D85" s="2" t="s">
        <v>33</v>
      </c>
      <c r="E85" s="2" t="s">
        <v>37</v>
      </c>
      <c r="F85" s="2" t="s">
        <v>53</v>
      </c>
      <c r="G85" s="4">
        <v>4</v>
      </c>
      <c r="H85" s="4">
        <v>1220</v>
      </c>
      <c r="I85" s="4">
        <v>0</v>
      </c>
      <c r="J85" s="2" t="s">
        <v>42</v>
      </c>
      <c r="K85">
        <f t="shared" si="2"/>
        <v>4880</v>
      </c>
      <c r="L85" t="str">
        <f t="shared" si="3"/>
        <v>06-26</v>
      </c>
    </row>
    <row r="86" spans="1:12" x14ac:dyDescent="0.3">
      <c r="A86" s="2" t="s">
        <v>129</v>
      </c>
      <c r="B86" s="3">
        <v>46042</v>
      </c>
      <c r="C86" s="2" t="s">
        <v>11</v>
      </c>
      <c r="D86" s="2" t="s">
        <v>29</v>
      </c>
      <c r="E86" s="2" t="s">
        <v>37</v>
      </c>
      <c r="F86" s="2" t="s">
        <v>53</v>
      </c>
      <c r="G86" s="4">
        <v>11</v>
      </c>
      <c r="H86" s="4">
        <v>1166</v>
      </c>
      <c r="I86" s="4">
        <v>20</v>
      </c>
      <c r="J86" s="2" t="s">
        <v>27</v>
      </c>
      <c r="K86">
        <f t="shared" si="2"/>
        <v>10260.800000000001</v>
      </c>
      <c r="L86" t="str">
        <f t="shared" si="3"/>
        <v>01-26</v>
      </c>
    </row>
    <row r="87" spans="1:12" x14ac:dyDescent="0.3">
      <c r="A87" s="2" t="s">
        <v>130</v>
      </c>
      <c r="B87" s="3">
        <v>46058</v>
      </c>
      <c r="C87" s="2" t="s">
        <v>11</v>
      </c>
      <c r="D87" s="2" t="s">
        <v>50</v>
      </c>
      <c r="E87" s="2" t="s">
        <v>13</v>
      </c>
      <c r="F87" s="2" t="s">
        <v>22</v>
      </c>
      <c r="G87" s="4">
        <v>3</v>
      </c>
      <c r="H87" s="4">
        <v>21652</v>
      </c>
      <c r="I87" s="4">
        <v>10</v>
      </c>
      <c r="J87" s="2" t="s">
        <v>42</v>
      </c>
      <c r="K87">
        <f t="shared" si="2"/>
        <v>58460.4</v>
      </c>
      <c r="L87" t="str">
        <f t="shared" si="3"/>
        <v>02-26</v>
      </c>
    </row>
    <row r="88" spans="1:12" x14ac:dyDescent="0.3">
      <c r="A88" s="2" t="s">
        <v>131</v>
      </c>
      <c r="B88" s="3">
        <v>46117</v>
      </c>
      <c r="C88" s="2" t="s">
        <v>48</v>
      </c>
      <c r="D88" s="2" t="s">
        <v>21</v>
      </c>
      <c r="E88" s="2" t="s">
        <v>25</v>
      </c>
      <c r="F88" s="2" t="s">
        <v>26</v>
      </c>
      <c r="G88" s="4">
        <v>14</v>
      </c>
      <c r="H88" s="4">
        <v>6662</v>
      </c>
      <c r="I88" s="4">
        <v>15</v>
      </c>
      <c r="J88" s="2" t="s">
        <v>27</v>
      </c>
      <c r="K88">
        <f t="shared" si="2"/>
        <v>79277.8</v>
      </c>
      <c r="L88" t="str">
        <f t="shared" si="3"/>
        <v>04-26</v>
      </c>
    </row>
    <row r="89" spans="1:12" x14ac:dyDescent="0.3">
      <c r="A89" s="2" t="s">
        <v>132</v>
      </c>
      <c r="B89" s="3">
        <v>46213</v>
      </c>
      <c r="C89" s="2" t="s">
        <v>11</v>
      </c>
      <c r="D89" s="2" t="s">
        <v>12</v>
      </c>
      <c r="E89" s="2" t="s">
        <v>30</v>
      </c>
      <c r="F89" s="2" t="s">
        <v>63</v>
      </c>
      <c r="G89" s="4">
        <v>16</v>
      </c>
      <c r="H89" s="4">
        <v>153</v>
      </c>
      <c r="I89" s="4">
        <v>10</v>
      </c>
      <c r="J89" s="2" t="s">
        <v>15</v>
      </c>
      <c r="K89">
        <f t="shared" si="2"/>
        <v>2203.2000000000003</v>
      </c>
      <c r="L89" t="str">
        <f t="shared" si="3"/>
        <v>07-26</v>
      </c>
    </row>
    <row r="90" spans="1:12" x14ac:dyDescent="0.3">
      <c r="A90" s="2" t="s">
        <v>133</v>
      </c>
      <c r="B90" s="3">
        <v>46115</v>
      </c>
      <c r="C90" s="2" t="s">
        <v>11</v>
      </c>
      <c r="D90" s="2" t="s">
        <v>36</v>
      </c>
      <c r="E90" s="2" t="s">
        <v>25</v>
      </c>
      <c r="F90" s="2" t="s">
        <v>26</v>
      </c>
      <c r="G90" s="4">
        <v>8</v>
      </c>
      <c r="H90" s="4">
        <v>6351</v>
      </c>
      <c r="I90" s="4">
        <v>15</v>
      </c>
      <c r="J90" s="2" t="s">
        <v>27</v>
      </c>
      <c r="K90">
        <f t="shared" si="2"/>
        <v>43186.799999999996</v>
      </c>
      <c r="L90" t="str">
        <f t="shared" si="3"/>
        <v>04-26</v>
      </c>
    </row>
    <row r="91" spans="1:12" x14ac:dyDescent="0.3">
      <c r="A91" s="2" t="s">
        <v>134</v>
      </c>
      <c r="B91" s="3">
        <v>46188</v>
      </c>
      <c r="C91" s="2" t="s">
        <v>24</v>
      </c>
      <c r="D91" s="2" t="s">
        <v>12</v>
      </c>
      <c r="E91" s="2" t="s">
        <v>30</v>
      </c>
      <c r="F91" s="2" t="s">
        <v>57</v>
      </c>
      <c r="G91" s="4">
        <v>14</v>
      </c>
      <c r="H91" s="4">
        <v>240</v>
      </c>
      <c r="I91" s="4">
        <v>20</v>
      </c>
      <c r="J91" s="2" t="s">
        <v>15</v>
      </c>
      <c r="K91">
        <f t="shared" si="2"/>
        <v>2688</v>
      </c>
      <c r="L91" t="str">
        <f t="shared" si="3"/>
        <v>06-26</v>
      </c>
    </row>
    <row r="92" spans="1:12" x14ac:dyDescent="0.3">
      <c r="A92" s="2" t="s">
        <v>135</v>
      </c>
      <c r="B92" s="3">
        <v>46148</v>
      </c>
      <c r="C92" s="2" t="s">
        <v>20</v>
      </c>
      <c r="D92" s="2" t="s">
        <v>17</v>
      </c>
      <c r="E92" s="2" t="s">
        <v>37</v>
      </c>
      <c r="F92" s="2" t="s">
        <v>53</v>
      </c>
      <c r="G92" s="4">
        <v>15</v>
      </c>
      <c r="H92" s="4">
        <v>1242</v>
      </c>
      <c r="I92" s="4">
        <v>5</v>
      </c>
      <c r="J92" s="2" t="s">
        <v>46</v>
      </c>
      <c r="K92">
        <f t="shared" si="2"/>
        <v>17698.5</v>
      </c>
      <c r="L92" t="str">
        <f t="shared" si="3"/>
        <v>05-26</v>
      </c>
    </row>
    <row r="93" spans="1:12" x14ac:dyDescent="0.3">
      <c r="A93" s="2" t="s">
        <v>136</v>
      </c>
      <c r="B93" s="3">
        <v>46080</v>
      </c>
      <c r="C93" s="2" t="s">
        <v>11</v>
      </c>
      <c r="D93" s="2" t="s">
        <v>50</v>
      </c>
      <c r="E93" s="2" t="s">
        <v>13</v>
      </c>
      <c r="F93" s="2" t="s">
        <v>18</v>
      </c>
      <c r="G93" s="4">
        <v>25</v>
      </c>
      <c r="H93" s="4">
        <v>4313</v>
      </c>
      <c r="I93" s="4">
        <v>0</v>
      </c>
      <c r="J93" s="2" t="s">
        <v>46</v>
      </c>
      <c r="K93">
        <f t="shared" si="2"/>
        <v>107825</v>
      </c>
      <c r="L93" t="str">
        <f t="shared" si="3"/>
        <v>02-26</v>
      </c>
    </row>
    <row r="94" spans="1:12" x14ac:dyDescent="0.3">
      <c r="A94" s="2" t="s">
        <v>137</v>
      </c>
      <c r="B94" s="3">
        <v>46223</v>
      </c>
      <c r="C94" s="2" t="s">
        <v>11</v>
      </c>
      <c r="D94" s="2" t="s">
        <v>50</v>
      </c>
      <c r="E94" s="2" t="s">
        <v>13</v>
      </c>
      <c r="F94" s="2" t="s">
        <v>95</v>
      </c>
      <c r="G94" s="4">
        <v>21</v>
      </c>
      <c r="H94" s="4">
        <v>2615</v>
      </c>
      <c r="I94" s="4">
        <v>10</v>
      </c>
      <c r="J94" s="2" t="s">
        <v>15</v>
      </c>
      <c r="K94">
        <f t="shared" si="2"/>
        <v>49423.5</v>
      </c>
      <c r="L94" t="str">
        <f t="shared" si="3"/>
        <v>07-26</v>
      </c>
    </row>
    <row r="95" spans="1:12" x14ac:dyDescent="0.3">
      <c r="A95" s="2" t="s">
        <v>138</v>
      </c>
      <c r="B95" s="3">
        <v>46185</v>
      </c>
      <c r="C95" s="2" t="s">
        <v>24</v>
      </c>
      <c r="D95" s="2" t="s">
        <v>36</v>
      </c>
      <c r="E95" s="2" t="s">
        <v>13</v>
      </c>
      <c r="F95" s="2" t="s">
        <v>14</v>
      </c>
      <c r="G95" s="4">
        <v>17</v>
      </c>
      <c r="H95" s="4">
        <v>52636</v>
      </c>
      <c r="I95" s="4">
        <v>5</v>
      </c>
      <c r="J95" s="2" t="s">
        <v>27</v>
      </c>
      <c r="K95">
        <f t="shared" si="2"/>
        <v>850071.39999999991</v>
      </c>
      <c r="L95" t="str">
        <f t="shared" si="3"/>
        <v>06-26</v>
      </c>
    </row>
    <row r="96" spans="1:12" x14ac:dyDescent="0.3">
      <c r="A96" s="2" t="s">
        <v>139</v>
      </c>
      <c r="B96" s="3">
        <v>46089</v>
      </c>
      <c r="C96" s="2" t="s">
        <v>11</v>
      </c>
      <c r="D96" s="2" t="s">
        <v>21</v>
      </c>
      <c r="E96" s="2" t="s">
        <v>13</v>
      </c>
      <c r="F96" s="2" t="s">
        <v>14</v>
      </c>
      <c r="G96" s="4">
        <v>15</v>
      </c>
      <c r="H96" s="4">
        <v>55206</v>
      </c>
      <c r="I96" s="4">
        <v>10</v>
      </c>
      <c r="J96" s="2" t="s">
        <v>39</v>
      </c>
      <c r="K96">
        <f t="shared" si="2"/>
        <v>745281</v>
      </c>
      <c r="L96" t="str">
        <f t="shared" si="3"/>
        <v>03-26</v>
      </c>
    </row>
    <row r="97" spans="1:12" x14ac:dyDescent="0.3">
      <c r="A97" s="2" t="s">
        <v>140</v>
      </c>
      <c r="B97" s="3">
        <v>46188</v>
      </c>
      <c r="C97" s="2" t="s">
        <v>11</v>
      </c>
      <c r="D97" s="2" t="s">
        <v>12</v>
      </c>
      <c r="E97" s="2" t="s">
        <v>25</v>
      </c>
      <c r="F97" s="2" t="s">
        <v>55</v>
      </c>
      <c r="G97" s="4">
        <v>14</v>
      </c>
      <c r="H97" s="4">
        <v>7623</v>
      </c>
      <c r="I97" s="4">
        <v>10</v>
      </c>
      <c r="J97" s="2" t="s">
        <v>46</v>
      </c>
      <c r="K97">
        <f t="shared" si="2"/>
        <v>96049.8</v>
      </c>
      <c r="L97" t="str">
        <f t="shared" si="3"/>
        <v>06-26</v>
      </c>
    </row>
    <row r="98" spans="1:12" x14ac:dyDescent="0.3">
      <c r="A98" s="2" t="s">
        <v>141</v>
      </c>
      <c r="B98" s="3">
        <v>46028</v>
      </c>
      <c r="C98" s="2" t="s">
        <v>11</v>
      </c>
      <c r="D98" s="2" t="s">
        <v>12</v>
      </c>
      <c r="E98" s="2" t="s">
        <v>37</v>
      </c>
      <c r="F98" s="2" t="s">
        <v>45</v>
      </c>
      <c r="G98" s="4">
        <v>22</v>
      </c>
      <c r="H98" s="4">
        <v>3122</v>
      </c>
      <c r="I98" s="4">
        <v>15</v>
      </c>
      <c r="J98" s="2" t="s">
        <v>39</v>
      </c>
      <c r="K98">
        <f t="shared" si="2"/>
        <v>58381.4</v>
      </c>
      <c r="L98" t="str">
        <f t="shared" si="3"/>
        <v>01-26</v>
      </c>
    </row>
    <row r="99" spans="1:12" x14ac:dyDescent="0.3">
      <c r="A99" s="2" t="s">
        <v>142</v>
      </c>
      <c r="B99" s="3">
        <v>46081</v>
      </c>
      <c r="C99" s="2" t="s">
        <v>24</v>
      </c>
      <c r="D99" s="2" t="s">
        <v>17</v>
      </c>
      <c r="E99" s="2" t="s">
        <v>30</v>
      </c>
      <c r="F99" s="2" t="s">
        <v>31</v>
      </c>
      <c r="G99" s="4">
        <v>22</v>
      </c>
      <c r="H99" s="4">
        <v>1488</v>
      </c>
      <c r="I99" s="4">
        <v>15</v>
      </c>
      <c r="J99" s="2" t="s">
        <v>42</v>
      </c>
      <c r="K99">
        <f t="shared" si="2"/>
        <v>27825.599999999999</v>
      </c>
      <c r="L99" t="str">
        <f t="shared" si="3"/>
        <v>02-26</v>
      </c>
    </row>
    <row r="100" spans="1:12" x14ac:dyDescent="0.3">
      <c r="A100" s="2" t="s">
        <v>143</v>
      </c>
      <c r="B100" s="3">
        <v>46024</v>
      </c>
      <c r="C100" s="2" t="s">
        <v>48</v>
      </c>
      <c r="D100" s="2" t="s">
        <v>36</v>
      </c>
      <c r="E100" s="2" t="s">
        <v>13</v>
      </c>
      <c r="F100" s="2" t="s">
        <v>22</v>
      </c>
      <c r="G100" s="4">
        <v>7</v>
      </c>
      <c r="H100" s="4">
        <v>21990</v>
      </c>
      <c r="I100" s="4">
        <v>10</v>
      </c>
      <c r="J100" s="2" t="s">
        <v>42</v>
      </c>
      <c r="K100">
        <f t="shared" si="2"/>
        <v>138537</v>
      </c>
      <c r="L100" t="str">
        <f t="shared" si="3"/>
        <v>01-26</v>
      </c>
    </row>
    <row r="101" spans="1:12" x14ac:dyDescent="0.3">
      <c r="A101" s="2" t="s">
        <v>144</v>
      </c>
      <c r="B101" s="3">
        <v>46082</v>
      </c>
      <c r="C101" s="2" t="s">
        <v>24</v>
      </c>
      <c r="D101" s="2" t="s">
        <v>50</v>
      </c>
      <c r="E101" s="2" t="s">
        <v>30</v>
      </c>
      <c r="F101" s="2" t="s">
        <v>63</v>
      </c>
      <c r="G101" s="4">
        <v>20</v>
      </c>
      <c r="H101" s="4">
        <v>144</v>
      </c>
      <c r="I101" s="4">
        <v>20</v>
      </c>
      <c r="J101" s="2" t="s">
        <v>15</v>
      </c>
      <c r="K101">
        <f t="shared" si="2"/>
        <v>2304</v>
      </c>
      <c r="L101" t="str">
        <f t="shared" si="3"/>
        <v>03-26</v>
      </c>
    </row>
    <row r="102" spans="1:12" x14ac:dyDescent="0.3">
      <c r="A102" s="2" t="s">
        <v>145</v>
      </c>
      <c r="B102" s="3">
        <v>46070</v>
      </c>
      <c r="C102" s="2" t="s">
        <v>11</v>
      </c>
      <c r="D102" s="2" t="s">
        <v>12</v>
      </c>
      <c r="E102" s="2" t="s">
        <v>37</v>
      </c>
      <c r="F102" s="2" t="s">
        <v>53</v>
      </c>
      <c r="G102" s="4">
        <v>20</v>
      </c>
      <c r="H102" s="4">
        <v>1146</v>
      </c>
      <c r="I102" s="4">
        <v>0</v>
      </c>
      <c r="J102" s="2" t="s">
        <v>27</v>
      </c>
      <c r="K102">
        <f t="shared" si="2"/>
        <v>22920</v>
      </c>
      <c r="L102" t="str">
        <f t="shared" si="3"/>
        <v>02-26</v>
      </c>
    </row>
    <row r="103" spans="1:12" x14ac:dyDescent="0.3">
      <c r="A103" s="2" t="s">
        <v>146</v>
      </c>
      <c r="B103" s="3">
        <v>46036</v>
      </c>
      <c r="C103" s="2" t="s">
        <v>11</v>
      </c>
      <c r="D103" s="2" t="s">
        <v>17</v>
      </c>
      <c r="E103" s="2" t="s">
        <v>25</v>
      </c>
      <c r="F103" s="2" t="s">
        <v>74</v>
      </c>
      <c r="G103" s="4">
        <v>2</v>
      </c>
      <c r="H103" s="4">
        <v>23879</v>
      </c>
      <c r="I103" s="4">
        <v>0</v>
      </c>
      <c r="J103" s="2" t="s">
        <v>27</v>
      </c>
      <c r="K103">
        <f t="shared" si="2"/>
        <v>47758</v>
      </c>
      <c r="L103" t="str">
        <f t="shared" si="3"/>
        <v>01-26</v>
      </c>
    </row>
    <row r="104" spans="1:12" x14ac:dyDescent="0.3">
      <c r="A104" s="2" t="s">
        <v>147</v>
      </c>
      <c r="B104" s="3">
        <v>46138</v>
      </c>
      <c r="C104" s="2" t="s">
        <v>48</v>
      </c>
      <c r="D104" s="2" t="s">
        <v>36</v>
      </c>
      <c r="E104" s="2" t="s">
        <v>13</v>
      </c>
      <c r="F104" s="2" t="s">
        <v>14</v>
      </c>
      <c r="G104" s="4">
        <v>11</v>
      </c>
      <c r="H104" s="4">
        <v>57373</v>
      </c>
      <c r="I104" s="4">
        <v>5</v>
      </c>
      <c r="J104" s="2" t="s">
        <v>42</v>
      </c>
      <c r="K104">
        <f t="shared" si="2"/>
        <v>599547.85</v>
      </c>
      <c r="L104" t="str">
        <f t="shared" si="3"/>
        <v>04-26</v>
      </c>
    </row>
    <row r="105" spans="1:12" x14ac:dyDescent="0.3">
      <c r="A105" s="2" t="s">
        <v>148</v>
      </c>
      <c r="B105" s="3">
        <v>46190</v>
      </c>
      <c r="C105" s="2" t="s">
        <v>24</v>
      </c>
      <c r="D105" s="2" t="s">
        <v>17</v>
      </c>
      <c r="E105" s="2" t="s">
        <v>30</v>
      </c>
      <c r="F105" s="2" t="s">
        <v>31</v>
      </c>
      <c r="G105" s="4">
        <v>12</v>
      </c>
      <c r="H105" s="4">
        <v>1533</v>
      </c>
      <c r="I105" s="4">
        <v>10</v>
      </c>
      <c r="J105" s="2" t="s">
        <v>27</v>
      </c>
      <c r="K105">
        <f t="shared" si="2"/>
        <v>16556.400000000001</v>
      </c>
      <c r="L105" t="str">
        <f t="shared" si="3"/>
        <v>06-26</v>
      </c>
    </row>
    <row r="106" spans="1:12" x14ac:dyDescent="0.3">
      <c r="A106" s="2" t="s">
        <v>149</v>
      </c>
      <c r="B106" s="3">
        <v>46066</v>
      </c>
      <c r="C106" s="2" t="s">
        <v>20</v>
      </c>
      <c r="D106" s="2" t="s">
        <v>17</v>
      </c>
      <c r="E106" s="2" t="s">
        <v>13</v>
      </c>
      <c r="F106" s="2" t="s">
        <v>95</v>
      </c>
      <c r="G106" s="4">
        <v>14</v>
      </c>
      <c r="H106" s="4">
        <v>2395</v>
      </c>
      <c r="I106" s="4">
        <v>0</v>
      </c>
      <c r="J106" s="2" t="s">
        <v>15</v>
      </c>
      <c r="K106">
        <f t="shared" si="2"/>
        <v>33530</v>
      </c>
      <c r="L106" t="str">
        <f t="shared" si="3"/>
        <v>02-26</v>
      </c>
    </row>
    <row r="107" spans="1:12" x14ac:dyDescent="0.3">
      <c r="A107" s="2" t="s">
        <v>150</v>
      </c>
      <c r="B107" s="3">
        <v>46217</v>
      </c>
      <c r="C107" s="2" t="s">
        <v>11</v>
      </c>
      <c r="D107" s="2" t="s">
        <v>12</v>
      </c>
      <c r="E107" s="2" t="s">
        <v>30</v>
      </c>
      <c r="F107" s="2" t="s">
        <v>63</v>
      </c>
      <c r="G107" s="4">
        <v>14</v>
      </c>
      <c r="H107" s="4">
        <v>154</v>
      </c>
      <c r="I107" s="4">
        <v>0</v>
      </c>
      <c r="J107" s="2" t="s">
        <v>46</v>
      </c>
      <c r="K107">
        <f t="shared" si="2"/>
        <v>2156</v>
      </c>
      <c r="L107" t="str">
        <f t="shared" si="3"/>
        <v>07-26</v>
      </c>
    </row>
    <row r="108" spans="1:12" x14ac:dyDescent="0.3">
      <c r="A108" s="2" t="s">
        <v>151</v>
      </c>
      <c r="B108" s="3">
        <v>46203</v>
      </c>
      <c r="C108" s="2" t="s">
        <v>24</v>
      </c>
      <c r="D108" s="2" t="s">
        <v>50</v>
      </c>
      <c r="E108" s="2" t="s">
        <v>30</v>
      </c>
      <c r="F108" s="2" t="s">
        <v>31</v>
      </c>
      <c r="G108" s="4">
        <v>7</v>
      </c>
      <c r="H108" s="4">
        <v>1562</v>
      </c>
      <c r="I108" s="4">
        <v>10</v>
      </c>
      <c r="J108" s="2" t="s">
        <v>39</v>
      </c>
      <c r="K108">
        <f t="shared" si="2"/>
        <v>9840.6</v>
      </c>
      <c r="L108" t="str">
        <f t="shared" si="3"/>
        <v>06-26</v>
      </c>
    </row>
    <row r="109" spans="1:12" x14ac:dyDescent="0.3">
      <c r="A109" s="2" t="s">
        <v>152</v>
      </c>
      <c r="B109" s="3">
        <v>46211</v>
      </c>
      <c r="C109" s="2" t="s">
        <v>24</v>
      </c>
      <c r="D109" s="2" t="s">
        <v>17</v>
      </c>
      <c r="E109" s="2" t="s">
        <v>37</v>
      </c>
      <c r="F109" s="2" t="s">
        <v>45</v>
      </c>
      <c r="G109" s="4">
        <v>25</v>
      </c>
      <c r="H109" s="4">
        <v>3299</v>
      </c>
      <c r="I109" s="4">
        <v>15</v>
      </c>
      <c r="J109" s="2" t="s">
        <v>46</v>
      </c>
      <c r="K109">
        <f t="shared" si="2"/>
        <v>70103.75</v>
      </c>
      <c r="L109" t="str">
        <f t="shared" si="3"/>
        <v>07-26</v>
      </c>
    </row>
    <row r="110" spans="1:12" x14ac:dyDescent="0.3">
      <c r="A110" s="2" t="s">
        <v>153</v>
      </c>
      <c r="B110" s="3">
        <v>46119</v>
      </c>
      <c r="C110" s="2" t="s">
        <v>20</v>
      </c>
      <c r="D110" s="2" t="s">
        <v>12</v>
      </c>
      <c r="E110" s="2" t="s">
        <v>13</v>
      </c>
      <c r="F110" s="2" t="s">
        <v>14</v>
      </c>
      <c r="G110" s="4">
        <v>24</v>
      </c>
      <c r="H110" s="4">
        <v>53663</v>
      </c>
      <c r="I110" s="4">
        <v>0</v>
      </c>
      <c r="J110" s="2" t="s">
        <v>15</v>
      </c>
      <c r="K110">
        <f t="shared" si="2"/>
        <v>1287912</v>
      </c>
      <c r="L110" t="str">
        <f t="shared" si="3"/>
        <v>04-26</v>
      </c>
    </row>
    <row r="111" spans="1:12" x14ac:dyDescent="0.3">
      <c r="A111" s="2" t="s">
        <v>154</v>
      </c>
      <c r="B111" s="3">
        <v>46109</v>
      </c>
      <c r="C111" s="2" t="s">
        <v>48</v>
      </c>
      <c r="D111" s="2" t="s">
        <v>33</v>
      </c>
      <c r="E111" s="2" t="s">
        <v>30</v>
      </c>
      <c r="F111" s="2" t="s">
        <v>31</v>
      </c>
      <c r="G111" s="4">
        <v>24</v>
      </c>
      <c r="H111" s="4">
        <v>1431</v>
      </c>
      <c r="I111" s="4">
        <v>10</v>
      </c>
      <c r="J111" s="2" t="s">
        <v>39</v>
      </c>
      <c r="K111">
        <f t="shared" si="2"/>
        <v>30909.600000000002</v>
      </c>
      <c r="L111" t="str">
        <f t="shared" si="3"/>
        <v>03-26</v>
      </c>
    </row>
    <row r="112" spans="1:12" x14ac:dyDescent="0.3">
      <c r="A112" s="2" t="s">
        <v>155</v>
      </c>
      <c r="B112" s="3">
        <v>46099</v>
      </c>
      <c r="C112" s="2" t="s">
        <v>20</v>
      </c>
      <c r="D112" s="2" t="s">
        <v>36</v>
      </c>
      <c r="E112" s="2" t="s">
        <v>13</v>
      </c>
      <c r="F112" s="2" t="s">
        <v>14</v>
      </c>
      <c r="G112" s="4">
        <v>4</v>
      </c>
      <c r="H112" s="4">
        <v>56793</v>
      </c>
      <c r="I112" s="4">
        <v>20</v>
      </c>
      <c r="J112" s="2" t="s">
        <v>27</v>
      </c>
      <c r="K112">
        <f t="shared" si="2"/>
        <v>181737.60000000001</v>
      </c>
      <c r="L112" t="str">
        <f t="shared" si="3"/>
        <v>03-26</v>
      </c>
    </row>
    <row r="113" spans="1:12" x14ac:dyDescent="0.3">
      <c r="A113" s="2" t="s">
        <v>156</v>
      </c>
      <c r="B113" s="3">
        <v>46221</v>
      </c>
      <c r="C113" s="2" t="s">
        <v>24</v>
      </c>
      <c r="D113" s="2" t="s">
        <v>21</v>
      </c>
      <c r="E113" s="2" t="s">
        <v>30</v>
      </c>
      <c r="F113" s="2" t="s">
        <v>63</v>
      </c>
      <c r="G113" s="4">
        <v>5</v>
      </c>
      <c r="H113" s="4">
        <v>154</v>
      </c>
      <c r="I113" s="4">
        <v>20</v>
      </c>
      <c r="J113" s="2" t="s">
        <v>42</v>
      </c>
      <c r="K113">
        <f t="shared" si="2"/>
        <v>616</v>
      </c>
      <c r="L113" t="str">
        <f t="shared" si="3"/>
        <v>07-26</v>
      </c>
    </row>
    <row r="114" spans="1:12" x14ac:dyDescent="0.3">
      <c r="A114" s="2" t="s">
        <v>157</v>
      </c>
      <c r="B114" s="3">
        <v>46025</v>
      </c>
      <c r="C114" s="2" t="s">
        <v>48</v>
      </c>
      <c r="D114" s="2" t="s">
        <v>21</v>
      </c>
      <c r="E114" s="2" t="s">
        <v>25</v>
      </c>
      <c r="F114" s="2" t="s">
        <v>55</v>
      </c>
      <c r="G114" s="4">
        <v>11</v>
      </c>
      <c r="H114" s="4">
        <v>7862</v>
      </c>
      <c r="I114" s="4">
        <v>20</v>
      </c>
      <c r="J114" s="2" t="s">
        <v>39</v>
      </c>
      <c r="K114">
        <f t="shared" si="2"/>
        <v>69185.600000000006</v>
      </c>
      <c r="L114" t="str">
        <f t="shared" si="3"/>
        <v>01-26</v>
      </c>
    </row>
    <row r="115" spans="1:12" x14ac:dyDescent="0.3">
      <c r="A115" s="2" t="s">
        <v>158</v>
      </c>
      <c r="B115" s="3">
        <v>46223</v>
      </c>
      <c r="C115" s="2" t="s">
        <v>20</v>
      </c>
      <c r="D115" s="2" t="s">
        <v>29</v>
      </c>
      <c r="E115" s="2" t="s">
        <v>25</v>
      </c>
      <c r="F115" s="2" t="s">
        <v>74</v>
      </c>
      <c r="G115" s="4">
        <v>8</v>
      </c>
      <c r="H115" s="4">
        <v>25632</v>
      </c>
      <c r="I115" s="4">
        <v>15</v>
      </c>
      <c r="J115" s="2" t="s">
        <v>46</v>
      </c>
      <c r="K115">
        <f t="shared" si="2"/>
        <v>174297.60000000001</v>
      </c>
      <c r="L115" t="str">
        <f t="shared" si="3"/>
        <v>07-26</v>
      </c>
    </row>
    <row r="116" spans="1:12" x14ac:dyDescent="0.3">
      <c r="A116" s="2" t="s">
        <v>159</v>
      </c>
      <c r="B116" s="3">
        <v>46189</v>
      </c>
      <c r="C116" s="2" t="s">
        <v>20</v>
      </c>
      <c r="D116" s="2" t="s">
        <v>12</v>
      </c>
      <c r="E116" s="2" t="s">
        <v>30</v>
      </c>
      <c r="F116" s="2" t="s">
        <v>57</v>
      </c>
      <c r="G116" s="4">
        <v>4</v>
      </c>
      <c r="H116" s="4">
        <v>262</v>
      </c>
      <c r="I116" s="4">
        <v>0</v>
      </c>
      <c r="J116" s="2" t="s">
        <v>39</v>
      </c>
      <c r="K116">
        <f t="shared" si="2"/>
        <v>1048</v>
      </c>
      <c r="L116" t="str">
        <f t="shared" si="3"/>
        <v>06-26</v>
      </c>
    </row>
    <row r="117" spans="1:12" x14ac:dyDescent="0.3">
      <c r="A117" s="2" t="s">
        <v>160</v>
      </c>
      <c r="B117" s="3">
        <v>46182</v>
      </c>
      <c r="C117" s="2" t="s">
        <v>20</v>
      </c>
      <c r="D117" s="2" t="s">
        <v>50</v>
      </c>
      <c r="E117" s="2" t="s">
        <v>13</v>
      </c>
      <c r="F117" s="2" t="s">
        <v>18</v>
      </c>
      <c r="G117" s="4">
        <v>23</v>
      </c>
      <c r="H117" s="4">
        <v>4499</v>
      </c>
      <c r="I117" s="4">
        <v>20</v>
      </c>
      <c r="J117" s="2" t="s">
        <v>42</v>
      </c>
      <c r="K117">
        <f t="shared" si="2"/>
        <v>82781.600000000006</v>
      </c>
      <c r="L117" t="str">
        <f t="shared" si="3"/>
        <v>06-26</v>
      </c>
    </row>
    <row r="118" spans="1:12" x14ac:dyDescent="0.3">
      <c r="A118" s="2" t="s">
        <v>161</v>
      </c>
      <c r="B118" s="3">
        <v>46082</v>
      </c>
      <c r="C118" s="2" t="s">
        <v>11</v>
      </c>
      <c r="D118" s="2" t="s">
        <v>12</v>
      </c>
      <c r="E118" s="2" t="s">
        <v>37</v>
      </c>
      <c r="F118" s="2" t="s">
        <v>53</v>
      </c>
      <c r="G118" s="4">
        <v>8</v>
      </c>
      <c r="H118" s="4">
        <v>1246</v>
      </c>
      <c r="I118" s="4">
        <v>0</v>
      </c>
      <c r="J118" s="2" t="s">
        <v>39</v>
      </c>
      <c r="K118">
        <f t="shared" si="2"/>
        <v>9968</v>
      </c>
      <c r="L118" t="str">
        <f t="shared" si="3"/>
        <v>03-26</v>
      </c>
    </row>
    <row r="119" spans="1:12" x14ac:dyDescent="0.3">
      <c r="A119" s="2" t="s">
        <v>162</v>
      </c>
      <c r="B119" s="3">
        <v>46098</v>
      </c>
      <c r="C119" s="2" t="s">
        <v>48</v>
      </c>
      <c r="D119" s="2" t="s">
        <v>29</v>
      </c>
      <c r="E119" s="2" t="s">
        <v>30</v>
      </c>
      <c r="F119" s="2" t="s">
        <v>63</v>
      </c>
      <c r="G119" s="4">
        <v>9</v>
      </c>
      <c r="H119" s="4">
        <v>146</v>
      </c>
      <c r="I119" s="4">
        <v>5</v>
      </c>
      <c r="J119" s="2" t="s">
        <v>27</v>
      </c>
      <c r="K119">
        <f t="shared" si="2"/>
        <v>1248.3</v>
      </c>
      <c r="L119" t="str">
        <f t="shared" si="3"/>
        <v>03-26</v>
      </c>
    </row>
    <row r="120" spans="1:12" x14ac:dyDescent="0.3">
      <c r="A120" s="2" t="s">
        <v>163</v>
      </c>
      <c r="B120" s="3">
        <v>46086</v>
      </c>
      <c r="C120" s="2" t="s">
        <v>11</v>
      </c>
      <c r="D120" s="2" t="s">
        <v>50</v>
      </c>
      <c r="E120" s="2" t="s">
        <v>25</v>
      </c>
      <c r="F120" s="2" t="s">
        <v>55</v>
      </c>
      <c r="G120" s="4">
        <v>19</v>
      </c>
      <c r="H120" s="4">
        <v>7825</v>
      </c>
      <c r="I120" s="4">
        <v>5</v>
      </c>
      <c r="J120" s="2" t="s">
        <v>39</v>
      </c>
      <c r="K120">
        <f t="shared" si="2"/>
        <v>141241.25</v>
      </c>
      <c r="L120" t="str">
        <f t="shared" si="3"/>
        <v>03-26</v>
      </c>
    </row>
    <row r="121" spans="1:12" x14ac:dyDescent="0.3">
      <c r="A121" s="2" t="s">
        <v>164</v>
      </c>
      <c r="B121" s="3">
        <v>46039</v>
      </c>
      <c r="C121" s="2" t="s">
        <v>24</v>
      </c>
      <c r="D121" s="2" t="s">
        <v>33</v>
      </c>
      <c r="E121" s="2" t="s">
        <v>25</v>
      </c>
      <c r="F121" s="2" t="s">
        <v>55</v>
      </c>
      <c r="G121" s="4">
        <v>4</v>
      </c>
      <c r="H121" s="4">
        <v>8119</v>
      </c>
      <c r="I121" s="4">
        <v>20</v>
      </c>
      <c r="J121" s="2" t="s">
        <v>46</v>
      </c>
      <c r="K121">
        <f t="shared" si="2"/>
        <v>25980.800000000003</v>
      </c>
      <c r="L121" t="str">
        <f t="shared" si="3"/>
        <v>01-26</v>
      </c>
    </row>
    <row r="122" spans="1:12" x14ac:dyDescent="0.3">
      <c r="A122" s="2" t="s">
        <v>165</v>
      </c>
      <c r="B122" s="3">
        <v>46049</v>
      </c>
      <c r="C122" s="2" t="s">
        <v>20</v>
      </c>
      <c r="D122" s="2" t="s">
        <v>12</v>
      </c>
      <c r="E122" s="2" t="s">
        <v>25</v>
      </c>
      <c r="F122" s="2" t="s">
        <v>74</v>
      </c>
      <c r="G122" s="4">
        <v>2</v>
      </c>
      <c r="H122" s="4">
        <v>26035</v>
      </c>
      <c r="I122" s="4">
        <v>10</v>
      </c>
      <c r="J122" s="2" t="s">
        <v>42</v>
      </c>
      <c r="K122">
        <f t="shared" si="2"/>
        <v>46863</v>
      </c>
      <c r="L122" t="str">
        <f t="shared" si="3"/>
        <v>01-26</v>
      </c>
    </row>
    <row r="123" spans="1:12" x14ac:dyDescent="0.3">
      <c r="A123" s="2" t="s">
        <v>166</v>
      </c>
      <c r="B123" s="3">
        <v>46053</v>
      </c>
      <c r="C123" s="2" t="s">
        <v>20</v>
      </c>
      <c r="D123" s="2" t="s">
        <v>50</v>
      </c>
      <c r="E123" s="2" t="s">
        <v>25</v>
      </c>
      <c r="F123" s="2" t="s">
        <v>26</v>
      </c>
      <c r="G123" s="4">
        <v>6</v>
      </c>
      <c r="H123" s="4">
        <v>6416</v>
      </c>
      <c r="I123" s="4">
        <v>20</v>
      </c>
      <c r="J123" s="2" t="s">
        <v>15</v>
      </c>
      <c r="K123">
        <f t="shared" si="2"/>
        <v>30796.800000000003</v>
      </c>
      <c r="L123" t="str">
        <f t="shared" si="3"/>
        <v>01-26</v>
      </c>
    </row>
    <row r="124" spans="1:12" x14ac:dyDescent="0.3">
      <c r="A124" s="2" t="s">
        <v>167</v>
      </c>
      <c r="B124" s="3">
        <v>46089</v>
      </c>
      <c r="C124" s="2" t="s">
        <v>20</v>
      </c>
      <c r="D124" s="2" t="s">
        <v>17</v>
      </c>
      <c r="E124" s="2" t="s">
        <v>30</v>
      </c>
      <c r="F124" s="2" t="s">
        <v>57</v>
      </c>
      <c r="G124" s="4">
        <v>11</v>
      </c>
      <c r="H124" s="4">
        <v>238</v>
      </c>
      <c r="I124" s="4">
        <v>0</v>
      </c>
      <c r="J124" s="2" t="s">
        <v>46</v>
      </c>
      <c r="K124">
        <f t="shared" si="2"/>
        <v>2618</v>
      </c>
      <c r="L124" t="str">
        <f t="shared" si="3"/>
        <v>03-26</v>
      </c>
    </row>
    <row r="125" spans="1:12" x14ac:dyDescent="0.3">
      <c r="A125" s="2" t="s">
        <v>168</v>
      </c>
      <c r="B125" s="3">
        <v>46075</v>
      </c>
      <c r="C125" s="2" t="s">
        <v>48</v>
      </c>
      <c r="D125" s="2" t="s">
        <v>17</v>
      </c>
      <c r="E125" s="2" t="s">
        <v>25</v>
      </c>
      <c r="F125" s="2" t="s">
        <v>26</v>
      </c>
      <c r="G125" s="4">
        <v>14</v>
      </c>
      <c r="H125" s="4">
        <v>6707</v>
      </c>
      <c r="I125" s="4">
        <v>10</v>
      </c>
      <c r="J125" s="2" t="s">
        <v>42</v>
      </c>
      <c r="K125">
        <f t="shared" si="2"/>
        <v>84508.2</v>
      </c>
      <c r="L125" t="str">
        <f t="shared" si="3"/>
        <v>02-26</v>
      </c>
    </row>
    <row r="126" spans="1:12" x14ac:dyDescent="0.3">
      <c r="A126" s="2" t="s">
        <v>169</v>
      </c>
      <c r="B126" s="3">
        <v>46181</v>
      </c>
      <c r="C126" s="2" t="s">
        <v>48</v>
      </c>
      <c r="D126" s="2" t="s">
        <v>17</v>
      </c>
      <c r="E126" s="2" t="s">
        <v>25</v>
      </c>
      <c r="F126" s="2" t="s">
        <v>26</v>
      </c>
      <c r="G126" s="4">
        <v>18</v>
      </c>
      <c r="H126" s="4">
        <v>6691</v>
      </c>
      <c r="I126" s="4">
        <v>20</v>
      </c>
      <c r="J126" s="2" t="s">
        <v>46</v>
      </c>
      <c r="K126">
        <f t="shared" si="2"/>
        <v>96350.400000000009</v>
      </c>
      <c r="L126" t="str">
        <f t="shared" si="3"/>
        <v>06-26</v>
      </c>
    </row>
    <row r="127" spans="1:12" x14ac:dyDescent="0.3">
      <c r="A127" s="2" t="s">
        <v>170</v>
      </c>
      <c r="B127" s="3">
        <v>46127</v>
      </c>
      <c r="C127" s="2" t="s">
        <v>20</v>
      </c>
      <c r="D127" s="2" t="s">
        <v>21</v>
      </c>
      <c r="E127" s="2" t="s">
        <v>37</v>
      </c>
      <c r="F127" s="2" t="s">
        <v>53</v>
      </c>
      <c r="G127" s="4">
        <v>21</v>
      </c>
      <c r="H127" s="4">
        <v>1206</v>
      </c>
      <c r="I127" s="4">
        <v>0</v>
      </c>
      <c r="J127" s="2" t="s">
        <v>42</v>
      </c>
      <c r="K127">
        <f t="shared" si="2"/>
        <v>25326</v>
      </c>
      <c r="L127" t="str">
        <f t="shared" si="3"/>
        <v>04-26</v>
      </c>
    </row>
    <row r="128" spans="1:12" x14ac:dyDescent="0.3">
      <c r="A128" s="2" t="s">
        <v>171</v>
      </c>
      <c r="B128" s="3">
        <v>46124</v>
      </c>
      <c r="C128" s="2" t="s">
        <v>48</v>
      </c>
      <c r="D128" s="2" t="s">
        <v>12</v>
      </c>
      <c r="E128" s="2" t="s">
        <v>30</v>
      </c>
      <c r="F128" s="2" t="s">
        <v>31</v>
      </c>
      <c r="G128" s="4">
        <v>2</v>
      </c>
      <c r="H128" s="4">
        <v>1471</v>
      </c>
      <c r="I128" s="4">
        <v>10</v>
      </c>
      <c r="J128" s="2" t="s">
        <v>15</v>
      </c>
      <c r="K128">
        <f t="shared" si="2"/>
        <v>2647.8</v>
      </c>
      <c r="L128" t="str">
        <f t="shared" si="3"/>
        <v>04-26</v>
      </c>
    </row>
    <row r="129" spans="1:12" x14ac:dyDescent="0.3">
      <c r="A129" s="2" t="s">
        <v>172</v>
      </c>
      <c r="B129" s="3">
        <v>46114</v>
      </c>
      <c r="C129" s="2" t="s">
        <v>24</v>
      </c>
      <c r="D129" s="2" t="s">
        <v>12</v>
      </c>
      <c r="E129" s="2" t="s">
        <v>13</v>
      </c>
      <c r="F129" s="2" t="s">
        <v>95</v>
      </c>
      <c r="G129" s="4">
        <v>13</v>
      </c>
      <c r="H129" s="4">
        <v>2536</v>
      </c>
      <c r="I129" s="4">
        <v>15</v>
      </c>
      <c r="J129" s="2" t="s">
        <v>42</v>
      </c>
      <c r="K129">
        <f t="shared" si="2"/>
        <v>28022.799999999999</v>
      </c>
      <c r="L129" t="str">
        <f t="shared" si="3"/>
        <v>04-26</v>
      </c>
    </row>
    <row r="130" spans="1:12" x14ac:dyDescent="0.3">
      <c r="A130" s="2" t="s">
        <v>173</v>
      </c>
      <c r="B130" s="3">
        <v>46024</v>
      </c>
      <c r="C130" s="2" t="s">
        <v>24</v>
      </c>
      <c r="D130" s="2" t="s">
        <v>50</v>
      </c>
      <c r="E130" s="2" t="s">
        <v>37</v>
      </c>
      <c r="F130" s="2" t="s">
        <v>45</v>
      </c>
      <c r="G130" s="4">
        <v>13</v>
      </c>
      <c r="H130" s="4">
        <v>3302</v>
      </c>
      <c r="I130" s="4">
        <v>10</v>
      </c>
      <c r="J130" s="2" t="s">
        <v>27</v>
      </c>
      <c r="K130">
        <f t="shared" si="2"/>
        <v>38633.4</v>
      </c>
      <c r="L130" t="str">
        <f t="shared" si="3"/>
        <v>01-26</v>
      </c>
    </row>
    <row r="131" spans="1:12" x14ac:dyDescent="0.3">
      <c r="A131" s="2" t="s">
        <v>174</v>
      </c>
      <c r="B131" s="3">
        <v>46220</v>
      </c>
      <c r="C131" s="2" t="s">
        <v>11</v>
      </c>
      <c r="D131" s="2" t="s">
        <v>50</v>
      </c>
      <c r="E131" s="2" t="s">
        <v>13</v>
      </c>
      <c r="F131" s="2" t="s">
        <v>14</v>
      </c>
      <c r="G131" s="4">
        <v>21</v>
      </c>
      <c r="H131" s="4">
        <v>55283</v>
      </c>
      <c r="I131" s="4">
        <v>15</v>
      </c>
      <c r="J131" s="2" t="s">
        <v>46</v>
      </c>
      <c r="K131">
        <f t="shared" ref="K131:K151" si="4">G131*H131*(1-I131/100)</f>
        <v>986801.54999999993</v>
      </c>
      <c r="L131" t="str">
        <f t="shared" ref="L131:L151" si="5">TEXT(B131,"mm-yy")</f>
        <v>07-26</v>
      </c>
    </row>
    <row r="132" spans="1:12" x14ac:dyDescent="0.3">
      <c r="A132" s="2" t="s">
        <v>175</v>
      </c>
      <c r="B132" s="3">
        <v>46169</v>
      </c>
      <c r="C132" s="2" t="s">
        <v>48</v>
      </c>
      <c r="D132" s="2" t="s">
        <v>36</v>
      </c>
      <c r="E132" s="2" t="s">
        <v>25</v>
      </c>
      <c r="F132" s="2" t="s">
        <v>55</v>
      </c>
      <c r="G132" s="4">
        <v>6</v>
      </c>
      <c r="H132" s="4">
        <v>7878</v>
      </c>
      <c r="I132" s="4">
        <v>0</v>
      </c>
      <c r="J132" s="2" t="s">
        <v>46</v>
      </c>
      <c r="K132">
        <f t="shared" si="4"/>
        <v>47268</v>
      </c>
      <c r="L132" t="str">
        <f t="shared" si="5"/>
        <v>05-26</v>
      </c>
    </row>
    <row r="133" spans="1:12" x14ac:dyDescent="0.3">
      <c r="A133" s="2" t="s">
        <v>176</v>
      </c>
      <c r="B133" s="3">
        <v>46050</v>
      </c>
      <c r="C133" s="2" t="s">
        <v>24</v>
      </c>
      <c r="D133" s="2" t="s">
        <v>12</v>
      </c>
      <c r="E133" s="2" t="s">
        <v>25</v>
      </c>
      <c r="F133" s="2" t="s">
        <v>68</v>
      </c>
      <c r="G133" s="4">
        <v>2</v>
      </c>
      <c r="H133" s="4">
        <v>4043</v>
      </c>
      <c r="I133" s="4">
        <v>20</v>
      </c>
      <c r="J133" s="2" t="s">
        <v>39</v>
      </c>
      <c r="K133">
        <f t="shared" si="4"/>
        <v>6468.8</v>
      </c>
      <c r="L133" t="str">
        <f t="shared" si="5"/>
        <v>01-26</v>
      </c>
    </row>
    <row r="134" spans="1:12" x14ac:dyDescent="0.3">
      <c r="A134" s="2" t="s">
        <v>177</v>
      </c>
      <c r="B134" s="3">
        <v>46036</v>
      </c>
      <c r="C134" s="2" t="s">
        <v>24</v>
      </c>
      <c r="D134" s="2" t="s">
        <v>17</v>
      </c>
      <c r="E134" s="2" t="s">
        <v>25</v>
      </c>
      <c r="F134" s="2" t="s">
        <v>55</v>
      </c>
      <c r="G134" s="4">
        <v>20</v>
      </c>
      <c r="H134" s="4">
        <v>8096</v>
      </c>
      <c r="I134" s="4">
        <v>5</v>
      </c>
      <c r="J134" s="2" t="s">
        <v>27</v>
      </c>
      <c r="K134">
        <f t="shared" si="4"/>
        <v>153824</v>
      </c>
      <c r="L134" t="str">
        <f t="shared" si="5"/>
        <v>01-26</v>
      </c>
    </row>
    <row r="135" spans="1:12" x14ac:dyDescent="0.3">
      <c r="A135" s="2" t="s">
        <v>178</v>
      </c>
      <c r="B135" s="3">
        <v>46069</v>
      </c>
      <c r="C135" s="2" t="s">
        <v>11</v>
      </c>
      <c r="D135" s="2" t="s">
        <v>17</v>
      </c>
      <c r="E135" s="2" t="s">
        <v>37</v>
      </c>
      <c r="F135" s="2" t="s">
        <v>53</v>
      </c>
      <c r="G135" s="4">
        <v>12</v>
      </c>
      <c r="H135" s="4">
        <v>1158</v>
      </c>
      <c r="I135" s="4">
        <v>0</v>
      </c>
      <c r="J135" s="2" t="s">
        <v>42</v>
      </c>
      <c r="K135">
        <f t="shared" si="4"/>
        <v>13896</v>
      </c>
      <c r="L135" t="str">
        <f t="shared" si="5"/>
        <v>02-26</v>
      </c>
    </row>
    <row r="136" spans="1:12" x14ac:dyDescent="0.3">
      <c r="A136" s="2" t="s">
        <v>179</v>
      </c>
      <c r="B136" s="3">
        <v>46086</v>
      </c>
      <c r="C136" s="2" t="s">
        <v>11</v>
      </c>
      <c r="D136" s="2" t="s">
        <v>17</v>
      </c>
      <c r="E136" s="2" t="s">
        <v>13</v>
      </c>
      <c r="F136" s="2" t="s">
        <v>95</v>
      </c>
      <c r="G136" s="4">
        <v>20</v>
      </c>
      <c r="H136" s="4">
        <v>2404</v>
      </c>
      <c r="I136" s="4">
        <v>20</v>
      </c>
      <c r="J136" s="2" t="s">
        <v>15</v>
      </c>
      <c r="K136">
        <f t="shared" si="4"/>
        <v>38464</v>
      </c>
      <c r="L136" t="str">
        <f t="shared" si="5"/>
        <v>03-26</v>
      </c>
    </row>
    <row r="137" spans="1:12" x14ac:dyDescent="0.3">
      <c r="A137" s="2" t="s">
        <v>180</v>
      </c>
      <c r="B137" s="3">
        <v>46183</v>
      </c>
      <c r="C137" s="2" t="s">
        <v>48</v>
      </c>
      <c r="D137" s="2" t="s">
        <v>36</v>
      </c>
      <c r="E137" s="2" t="s">
        <v>37</v>
      </c>
      <c r="F137" s="2" t="s">
        <v>38</v>
      </c>
      <c r="G137" s="4">
        <v>14</v>
      </c>
      <c r="H137" s="4">
        <v>6856</v>
      </c>
      <c r="I137" s="4">
        <v>15</v>
      </c>
      <c r="J137" s="2" t="s">
        <v>39</v>
      </c>
      <c r="K137">
        <f t="shared" si="4"/>
        <v>81586.399999999994</v>
      </c>
      <c r="L137" t="str">
        <f t="shared" si="5"/>
        <v>06-26</v>
      </c>
    </row>
    <row r="138" spans="1:12" x14ac:dyDescent="0.3">
      <c r="A138" s="2" t="s">
        <v>181</v>
      </c>
      <c r="B138" s="3">
        <v>46137</v>
      </c>
      <c r="C138" s="2" t="s">
        <v>24</v>
      </c>
      <c r="D138" s="2" t="s">
        <v>50</v>
      </c>
      <c r="E138" s="2" t="s">
        <v>13</v>
      </c>
      <c r="F138" s="2" t="s">
        <v>14</v>
      </c>
      <c r="G138" s="4">
        <v>16</v>
      </c>
      <c r="H138" s="4">
        <v>55653</v>
      </c>
      <c r="I138" s="4">
        <v>20</v>
      </c>
      <c r="J138" s="2" t="s">
        <v>42</v>
      </c>
      <c r="K138">
        <f t="shared" si="4"/>
        <v>712358.40000000002</v>
      </c>
      <c r="L138" t="str">
        <f t="shared" si="5"/>
        <v>04-26</v>
      </c>
    </row>
    <row r="139" spans="1:12" x14ac:dyDescent="0.3">
      <c r="A139" s="2" t="s">
        <v>182</v>
      </c>
      <c r="B139" s="3">
        <v>46137</v>
      </c>
      <c r="C139" s="2" t="s">
        <v>24</v>
      </c>
      <c r="D139" s="2" t="s">
        <v>21</v>
      </c>
      <c r="E139" s="2" t="s">
        <v>25</v>
      </c>
      <c r="F139" s="2" t="s">
        <v>74</v>
      </c>
      <c r="G139" s="4">
        <v>3</v>
      </c>
      <c r="H139" s="4">
        <v>24750</v>
      </c>
      <c r="I139" s="4">
        <v>0</v>
      </c>
      <c r="J139" s="2" t="s">
        <v>39</v>
      </c>
      <c r="K139">
        <f t="shared" si="4"/>
        <v>74250</v>
      </c>
      <c r="L139" t="str">
        <f t="shared" si="5"/>
        <v>04-26</v>
      </c>
    </row>
    <row r="140" spans="1:12" x14ac:dyDescent="0.3">
      <c r="A140" s="2" t="s">
        <v>183</v>
      </c>
      <c r="B140" s="3">
        <v>46133</v>
      </c>
      <c r="C140" s="2" t="s">
        <v>48</v>
      </c>
      <c r="D140" s="2" t="s">
        <v>17</v>
      </c>
      <c r="E140" s="2" t="s">
        <v>37</v>
      </c>
      <c r="F140" s="2" t="s">
        <v>53</v>
      </c>
      <c r="G140" s="4">
        <v>2</v>
      </c>
      <c r="H140" s="4">
        <v>1201</v>
      </c>
      <c r="I140" s="4">
        <v>0</v>
      </c>
      <c r="J140" s="2" t="s">
        <v>42</v>
      </c>
      <c r="K140">
        <f t="shared" si="4"/>
        <v>2402</v>
      </c>
      <c r="L140" t="str">
        <f t="shared" si="5"/>
        <v>04-26</v>
      </c>
    </row>
    <row r="141" spans="1:12" x14ac:dyDescent="0.3">
      <c r="A141" s="2" t="s">
        <v>184</v>
      </c>
      <c r="B141" s="3">
        <v>46044</v>
      </c>
      <c r="C141" s="2" t="s">
        <v>48</v>
      </c>
      <c r="D141" s="2" t="s">
        <v>21</v>
      </c>
      <c r="E141" s="2" t="s">
        <v>13</v>
      </c>
      <c r="F141" s="2" t="s">
        <v>14</v>
      </c>
      <c r="G141" s="4">
        <v>13</v>
      </c>
      <c r="H141" s="4">
        <v>56386</v>
      </c>
      <c r="I141" s="4">
        <v>0</v>
      </c>
      <c r="J141" s="2" t="s">
        <v>46</v>
      </c>
      <c r="K141">
        <f t="shared" si="4"/>
        <v>733018</v>
      </c>
      <c r="L141" t="str">
        <f t="shared" si="5"/>
        <v>01-26</v>
      </c>
    </row>
    <row r="142" spans="1:12" x14ac:dyDescent="0.3">
      <c r="A142" s="2" t="s">
        <v>185</v>
      </c>
      <c r="B142" s="3">
        <v>46039</v>
      </c>
      <c r="C142" s="2" t="s">
        <v>20</v>
      </c>
      <c r="D142" s="2" t="s">
        <v>50</v>
      </c>
      <c r="E142" s="2" t="s">
        <v>25</v>
      </c>
      <c r="F142" s="2" t="s">
        <v>74</v>
      </c>
      <c r="G142" s="4">
        <v>6</v>
      </c>
      <c r="H142" s="4">
        <v>24469</v>
      </c>
      <c r="I142" s="4">
        <v>5</v>
      </c>
      <c r="J142" s="2" t="s">
        <v>46</v>
      </c>
      <c r="K142">
        <f t="shared" si="4"/>
        <v>139473.29999999999</v>
      </c>
      <c r="L142" t="str">
        <f t="shared" si="5"/>
        <v>01-26</v>
      </c>
    </row>
    <row r="143" spans="1:12" x14ac:dyDescent="0.3">
      <c r="A143" s="2" t="s">
        <v>186</v>
      </c>
      <c r="B143" s="3">
        <v>46112</v>
      </c>
      <c r="C143" s="2" t="s">
        <v>48</v>
      </c>
      <c r="D143" s="2" t="s">
        <v>50</v>
      </c>
      <c r="E143" s="2" t="s">
        <v>30</v>
      </c>
      <c r="F143" s="2" t="s">
        <v>31</v>
      </c>
      <c r="G143" s="4">
        <v>15</v>
      </c>
      <c r="H143" s="4">
        <v>1466</v>
      </c>
      <c r="I143" s="4">
        <v>0</v>
      </c>
      <c r="J143" s="2" t="s">
        <v>39</v>
      </c>
      <c r="K143">
        <f t="shared" si="4"/>
        <v>21990</v>
      </c>
      <c r="L143" t="str">
        <f t="shared" si="5"/>
        <v>03-26</v>
      </c>
    </row>
    <row r="144" spans="1:12" x14ac:dyDescent="0.3">
      <c r="A144" s="2" t="s">
        <v>187</v>
      </c>
      <c r="B144" s="3">
        <v>46151</v>
      </c>
      <c r="C144" s="2" t="s">
        <v>24</v>
      </c>
      <c r="D144" s="2" t="s">
        <v>50</v>
      </c>
      <c r="E144" s="2" t="s">
        <v>30</v>
      </c>
      <c r="F144" s="2" t="s">
        <v>31</v>
      </c>
      <c r="G144" s="4">
        <v>11</v>
      </c>
      <c r="H144" s="4">
        <v>1500</v>
      </c>
      <c r="I144" s="4">
        <v>10</v>
      </c>
      <c r="J144" s="2" t="s">
        <v>46</v>
      </c>
      <c r="K144">
        <f t="shared" si="4"/>
        <v>14850</v>
      </c>
      <c r="L144" t="str">
        <f t="shared" si="5"/>
        <v>05-26</v>
      </c>
    </row>
    <row r="145" spans="1:12" x14ac:dyDescent="0.3">
      <c r="A145" s="2" t="s">
        <v>188</v>
      </c>
      <c r="B145" s="3">
        <v>46073</v>
      </c>
      <c r="C145" s="2" t="s">
        <v>11</v>
      </c>
      <c r="D145" s="2" t="s">
        <v>12</v>
      </c>
      <c r="E145" s="2" t="s">
        <v>25</v>
      </c>
      <c r="F145" s="2" t="s">
        <v>68</v>
      </c>
      <c r="G145" s="4">
        <v>13</v>
      </c>
      <c r="H145" s="4">
        <v>4275</v>
      </c>
      <c r="I145" s="4">
        <v>0</v>
      </c>
      <c r="J145" s="2" t="s">
        <v>39</v>
      </c>
      <c r="K145">
        <f t="shared" si="4"/>
        <v>55575</v>
      </c>
      <c r="L145" t="str">
        <f t="shared" si="5"/>
        <v>02-26</v>
      </c>
    </row>
    <row r="146" spans="1:12" x14ac:dyDescent="0.3">
      <c r="A146" s="2" t="s">
        <v>189</v>
      </c>
      <c r="B146" s="3">
        <v>46052</v>
      </c>
      <c r="C146" s="2" t="s">
        <v>20</v>
      </c>
      <c r="D146" s="2" t="s">
        <v>36</v>
      </c>
      <c r="E146" s="2" t="s">
        <v>30</v>
      </c>
      <c r="F146" s="2" t="s">
        <v>63</v>
      </c>
      <c r="G146" s="4">
        <v>19</v>
      </c>
      <c r="H146" s="4">
        <v>150</v>
      </c>
      <c r="I146" s="4">
        <v>0</v>
      </c>
      <c r="J146" s="2" t="s">
        <v>39</v>
      </c>
      <c r="K146">
        <f t="shared" si="4"/>
        <v>2850</v>
      </c>
      <c r="L146" t="str">
        <f t="shared" si="5"/>
        <v>01-26</v>
      </c>
    </row>
    <row r="147" spans="1:12" x14ac:dyDescent="0.3">
      <c r="A147" s="2" t="s">
        <v>190</v>
      </c>
      <c r="B147" s="3">
        <v>46160</v>
      </c>
      <c r="C147" s="2" t="s">
        <v>24</v>
      </c>
      <c r="D147" s="2" t="s">
        <v>36</v>
      </c>
      <c r="E147" s="2" t="s">
        <v>30</v>
      </c>
      <c r="F147" s="2" t="s">
        <v>63</v>
      </c>
      <c r="G147" s="4">
        <v>12</v>
      </c>
      <c r="H147" s="4">
        <v>148</v>
      </c>
      <c r="I147" s="4">
        <v>0</v>
      </c>
      <c r="J147" s="2" t="s">
        <v>39</v>
      </c>
      <c r="K147">
        <f t="shared" si="4"/>
        <v>1776</v>
      </c>
      <c r="L147" t="str">
        <f t="shared" si="5"/>
        <v>05-26</v>
      </c>
    </row>
    <row r="148" spans="1:12" x14ac:dyDescent="0.3">
      <c r="A148" s="2" t="s">
        <v>191</v>
      </c>
      <c r="B148" s="3">
        <v>46107</v>
      </c>
      <c r="C148" s="2" t="s">
        <v>20</v>
      </c>
      <c r="D148" s="2" t="s">
        <v>12</v>
      </c>
      <c r="E148" s="2" t="s">
        <v>25</v>
      </c>
      <c r="F148" s="2" t="s">
        <v>55</v>
      </c>
      <c r="G148" s="4">
        <v>2</v>
      </c>
      <c r="H148" s="4">
        <v>8092</v>
      </c>
      <c r="I148" s="4">
        <v>10</v>
      </c>
      <c r="J148" s="2" t="s">
        <v>15</v>
      </c>
      <c r="K148">
        <f t="shared" si="4"/>
        <v>14565.6</v>
      </c>
      <c r="L148" t="str">
        <f t="shared" si="5"/>
        <v>03-26</v>
      </c>
    </row>
    <row r="149" spans="1:12" x14ac:dyDescent="0.3">
      <c r="A149" s="2" t="s">
        <v>192</v>
      </c>
      <c r="B149" s="3">
        <v>46087</v>
      </c>
      <c r="C149" s="2" t="s">
        <v>48</v>
      </c>
      <c r="D149" s="2" t="s">
        <v>36</v>
      </c>
      <c r="E149" s="2" t="s">
        <v>30</v>
      </c>
      <c r="F149" s="2" t="s">
        <v>31</v>
      </c>
      <c r="G149" s="4">
        <v>2</v>
      </c>
      <c r="H149" s="4">
        <v>1425</v>
      </c>
      <c r="I149" s="4">
        <v>5</v>
      </c>
      <c r="J149" s="2" t="s">
        <v>42</v>
      </c>
      <c r="K149">
        <f t="shared" si="4"/>
        <v>2707.5</v>
      </c>
      <c r="L149" t="str">
        <f t="shared" si="5"/>
        <v>03-26</v>
      </c>
    </row>
    <row r="150" spans="1:12" x14ac:dyDescent="0.3">
      <c r="A150" s="2" t="s">
        <v>193</v>
      </c>
      <c r="B150" s="3">
        <v>46097</v>
      </c>
      <c r="C150" s="2" t="s">
        <v>24</v>
      </c>
      <c r="D150" s="2" t="s">
        <v>12</v>
      </c>
      <c r="E150" s="2" t="s">
        <v>30</v>
      </c>
      <c r="F150" s="2" t="s">
        <v>57</v>
      </c>
      <c r="G150" s="4">
        <v>8</v>
      </c>
      <c r="H150" s="4">
        <v>240</v>
      </c>
      <c r="I150" s="4">
        <v>0</v>
      </c>
      <c r="J150" s="2" t="s">
        <v>46</v>
      </c>
      <c r="K150">
        <f t="shared" si="4"/>
        <v>1920</v>
      </c>
      <c r="L150" t="str">
        <f t="shared" si="5"/>
        <v>03-26</v>
      </c>
    </row>
    <row r="151" spans="1:12" x14ac:dyDescent="0.3">
      <c r="A151" s="2" t="s">
        <v>194</v>
      </c>
      <c r="B151" s="3">
        <v>46036</v>
      </c>
      <c r="C151" s="2" t="s">
        <v>20</v>
      </c>
      <c r="D151" s="2" t="s">
        <v>29</v>
      </c>
      <c r="E151" s="2" t="s">
        <v>30</v>
      </c>
      <c r="F151" s="2" t="s">
        <v>63</v>
      </c>
      <c r="G151" s="4">
        <v>12</v>
      </c>
      <c r="H151" s="4">
        <v>144</v>
      </c>
      <c r="I151" s="4">
        <v>5</v>
      </c>
      <c r="J151" s="2" t="s">
        <v>27</v>
      </c>
      <c r="K151">
        <f t="shared" si="4"/>
        <v>1641.6</v>
      </c>
      <c r="L151" t="str">
        <f t="shared" si="5"/>
        <v>01-26</v>
      </c>
    </row>
  </sheetData>
  <pageMargins left="0.75" right="0.75" top="1" bottom="1" header="0.5" footer="0.5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Gauri Awasthi</cp:lastModifiedBy>
  <cp:lastPrinted>2026-08-14T09:18:56Z</cp:lastPrinted>
  <dcterms:created xsi:type="dcterms:W3CDTF">2026-08-05T16:38:09Z</dcterms:created>
  <dcterms:modified xsi:type="dcterms:W3CDTF">2026-08-14T09:26:34Z</dcterms:modified>
</cp:coreProperties>
</file>